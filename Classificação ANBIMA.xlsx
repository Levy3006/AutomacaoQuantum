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LICAÇÕES GERIN\Automação Quantum\"/>
    </mc:Choice>
  </mc:AlternateContent>
  <bookViews>
    <workbookView xWindow="0" yWindow="0" windowWidth="24000" windowHeight="9600"/>
  </bookViews>
  <sheets>
    <sheet name="Plan1" sheetId="1" r:id="rId1"/>
    <sheet name="Validacao da classificaçao Scri" sheetId="2" r:id="rId2"/>
  </sheets>
  <definedNames>
    <definedName name="_xlnm._FilterDatabase" localSheetId="0" hidden="1">Plan1!$A$1:$E$114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7" i="2" l="1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16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02" i="2"/>
  <c r="D101" i="2"/>
  <c r="D100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81" i="2"/>
  <c r="D77" i="2"/>
  <c r="D78" i="2"/>
  <c r="D79" i="2"/>
  <c r="D80" i="2"/>
  <c r="D76" i="2"/>
  <c r="D51" i="2"/>
  <c r="D52" i="2"/>
  <c r="D50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53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2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</calcChain>
</file>

<file path=xl/sharedStrings.xml><?xml version="1.0" encoding="utf-8"?>
<sst xmlns="http://schemas.openxmlformats.org/spreadsheetml/2006/main" count="847" uniqueCount="116">
  <si>
    <t>Agente</t>
  </si>
  <si>
    <t>Classificação ANBIMA</t>
  </si>
  <si>
    <t>1 linha</t>
  </si>
  <si>
    <t>Indicadores</t>
  </si>
  <si>
    <t>Renda Fixa</t>
  </si>
  <si>
    <t>CDI</t>
  </si>
  <si>
    <t xml:space="preserve">BenchMark Personalizado - &gt; 105% DO CDI
BenchMark Personalizado -&gt; ÍNDICE IPCA + 5,00%
BenchMark Personalizado -&gt; ÍNDICE INPC + 5,25%
ÍNDICES - &gt; CDI
ÍNDICES - &gt; IBOVESPA
ÍNDICES - &gt; IFIX </t>
  </si>
  <si>
    <t>Renda Fixa Crédito</t>
  </si>
  <si>
    <t>Renda Fixa Crédito Livre</t>
  </si>
  <si>
    <t>Renda Fixa Dívida Externa</t>
  </si>
  <si>
    <t>Renda Fixa Duração Alta Crédito Livre</t>
  </si>
  <si>
    <t>Renda Fixa Duração Alta Grau de Investimento</t>
  </si>
  <si>
    <t>Renda Fixa Duração Alta Soberano</t>
  </si>
  <si>
    <t>Renda Fixa Duração Baixa Crédito Livre</t>
  </si>
  <si>
    <t>Renda Fixa Duração Baixa Grau de Investimento</t>
  </si>
  <si>
    <t>Renda Fixa Duração Baixa Soberano</t>
  </si>
  <si>
    <t>Renda Fixa Duração Livre Crédito Livre</t>
  </si>
  <si>
    <t>Renda Fixa Duração Livre Grau de Investimento</t>
  </si>
  <si>
    <t>Renda Fixa Duração Livre Soberano</t>
  </si>
  <si>
    <t>Renda Fixa Duração Média Crédito Livre</t>
  </si>
  <si>
    <t>Renda Fixa Duração Média Grau de Investimento</t>
  </si>
  <si>
    <t>Renda Fixa Duração Média Soberano</t>
  </si>
  <si>
    <t>Renda Fixa Indexados</t>
  </si>
  <si>
    <t>Renda Fixa Índices</t>
  </si>
  <si>
    <t>Renda Fixa Investimento no Exterior</t>
  </si>
  <si>
    <t>Renda Fixa Médio e Alto Risco</t>
  </si>
  <si>
    <t>Renda Fixa Multi Índices</t>
  </si>
  <si>
    <t>Renda Fixa Simples</t>
  </si>
  <si>
    <t>Curto Prazo</t>
  </si>
  <si>
    <t>Renda Fixa Liquidez</t>
  </si>
  <si>
    <t>Referenciado DI</t>
  </si>
  <si>
    <t>Referenciado Outros</t>
  </si>
  <si>
    <t xml:space="preserve">Long and Short </t>
  </si>
  <si>
    <t>Long and Short Direcional</t>
  </si>
  <si>
    <t>Long and Short Neutro</t>
  </si>
  <si>
    <t>Long and Short Renda Variável</t>
  </si>
  <si>
    <t>Multimercado</t>
  </si>
  <si>
    <t>Balanceados</t>
  </si>
  <si>
    <t>Capital Protegido</t>
  </si>
  <si>
    <t>Multimercados Balanceados</t>
  </si>
  <si>
    <t>Multimercados Capital Protegido</t>
  </si>
  <si>
    <t>Multimercados com RV</t>
  </si>
  <si>
    <t>Multimercados com RV com Alavancagem</t>
  </si>
  <si>
    <t>Multimercados Dinâmico</t>
  </si>
  <si>
    <t>Multimercados Estratégia Específica</t>
  </si>
  <si>
    <t>Multimercados Juros e Moedas</t>
  </si>
  <si>
    <t>Multimercados Livre</t>
  </si>
  <si>
    <t>Multimercados Long and Short Direcional</t>
  </si>
  <si>
    <t>Multimercados Long and Short Neutro</t>
  </si>
  <si>
    <t>Multimercados Macro</t>
  </si>
  <si>
    <t>Multimercados Multiestratégia</t>
  </si>
  <si>
    <t>Multimercados Multigestor</t>
  </si>
  <si>
    <t>Multimercados sem RV</t>
  </si>
  <si>
    <t>Multimercados sem RV com Alavancagem</t>
  </si>
  <si>
    <t>Multimercados Trading</t>
  </si>
  <si>
    <t>Referenciado Dólar</t>
  </si>
  <si>
    <t>Cambial</t>
  </si>
  <si>
    <t>Cambial Dólar sem alavancagem</t>
  </si>
  <si>
    <t>Cambial Euro sem Alavancagem</t>
  </si>
  <si>
    <t>Multimercados Investimento no Exterior</t>
  </si>
  <si>
    <t>FIDC</t>
  </si>
  <si>
    <t>FIDC Agro Indústria e Comércio</t>
  </si>
  <si>
    <t>FIDC Financeiro</t>
  </si>
  <si>
    <t>FIDC Fomento Mercantil</t>
  </si>
  <si>
    <t>FIDC Outros</t>
  </si>
  <si>
    <t>Direitos Creditórios</t>
  </si>
  <si>
    <t>Renda Variável</t>
  </si>
  <si>
    <t>Ações Dividendos</t>
  </si>
  <si>
    <t xml:space="preserve">IBOVESPA </t>
  </si>
  <si>
    <t>Ações fechado</t>
  </si>
  <si>
    <t>Ações FMP - FGTS</t>
  </si>
  <si>
    <t>Ações Ibovespa ativo</t>
  </si>
  <si>
    <t>Ações Ibovespa ativo com alavancagem</t>
  </si>
  <si>
    <t>Ações Ibovespa indexado</t>
  </si>
  <si>
    <t>Ações IBrX Ativo</t>
  </si>
  <si>
    <t>Ações IBrX Indexado</t>
  </si>
  <si>
    <t>Ações IBX ativo</t>
  </si>
  <si>
    <t>Ações Indexados</t>
  </si>
  <si>
    <t>Ações Índice Ativo</t>
  </si>
  <si>
    <t>Ações Livre</t>
  </si>
  <si>
    <t>Ações outros</t>
  </si>
  <si>
    <t>Ações Setoriais</t>
  </si>
  <si>
    <t>Ações Setoriais Livre</t>
  </si>
  <si>
    <t>Ações Setoriais Privatização Petrobrás - Recursos Próprios</t>
  </si>
  <si>
    <t>Ações Small CapsAções Sustentabilidade/Governança</t>
  </si>
  <si>
    <t>Ações Valor/Crescimento</t>
  </si>
  <si>
    <t>Exterior</t>
  </si>
  <si>
    <t>Investimento no Exterior</t>
  </si>
  <si>
    <t>Ações Investimento no Exterior</t>
  </si>
  <si>
    <t>Imobiliários</t>
  </si>
  <si>
    <t>FII Desenvolvimento para Renda Gestão Ativa</t>
  </si>
  <si>
    <t>IFIX</t>
  </si>
  <si>
    <t xml:space="preserve">FII Desenvolvimento para Renda Gestão Passiva </t>
  </si>
  <si>
    <t>FII Desenvolvimento para Venda Gestão Ativa</t>
  </si>
  <si>
    <t>FII Desenvolvimento para Venda Gestão Passiva</t>
  </si>
  <si>
    <t>FII Híbrido Gestão Ativa</t>
  </si>
  <si>
    <t>FII Híbrido Gestão Passiva</t>
  </si>
  <si>
    <t>FII Multiestratégia Gestão Ativa</t>
  </si>
  <si>
    <t>FII Papel Híbrido Gestão Ativa</t>
  </si>
  <si>
    <t>FII Renda Gestão Ativa</t>
  </si>
  <si>
    <t>FII Renda Gestão Passiva</t>
  </si>
  <si>
    <t>FII Tijolo Híbrido Gestão Ativa</t>
  </si>
  <si>
    <t>FII TVM Gestão Ativa</t>
  </si>
  <si>
    <t>FII TVM Gestão Passiva</t>
  </si>
  <si>
    <t>Fundos de Investimento Imobiliário</t>
  </si>
  <si>
    <t>Script</t>
  </si>
  <si>
    <t>Planilha</t>
  </si>
  <si>
    <t>Bate?</t>
  </si>
  <si>
    <t>Ações Small Caps</t>
  </si>
  <si>
    <t>Ações Sustentabilidade/Governança</t>
  </si>
  <si>
    <t>FII Desenvolvimento para Renda Gestão Passiva</t>
  </si>
  <si>
    <t>RF Liquidez</t>
  </si>
  <si>
    <t>Renda Fixa LP</t>
  </si>
  <si>
    <t>FIM Long Short</t>
  </si>
  <si>
    <t>Categoria (Painel)</t>
  </si>
  <si>
    <t>Multimercado 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</si>
</sst>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11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43" fontId="3" fillId="0" borderId="0" xfId="1" applyFont="1"/>
    <xf numFmtId="43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3" fillId="12" borderId="0" xfId="0" applyFont="1" applyFill="1" applyAlignment="1">
      <alignment horizontal="center"/>
    </xf>
    <xf numFmtId="0" fontId="0" fillId="11" borderId="0" xfId="0" applyFill="1"/>
    <xf numFmtId="0" fontId="0" fillId="9" borderId="0" xfId="0" applyFill="1"/>
    <xf numFmtId="0" fontId="0" fillId="0" borderId="0" xfId="0" quotePrefix="1"/>
    <xf numFmtId="0" fontId="0" fillId="13" borderId="0" xfId="0" applyFill="1"/>
    <xf numFmtId="0" fontId="3" fillId="10" borderId="0" xfId="0" applyFont="1" applyFill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showGridLines="0" tabSelected="1" zoomScale="150" zoomScaleNormal="150" workbookViewId="0">
      <selection activeCell="B1" sqref="B1"/>
    </sheetView>
  </sheetViews>
  <sheetFormatPr defaultRowHeight="14.25" customHeight="1" x14ac:dyDescent="0.2"/>
  <cols>
    <col min="1" max="1" width="17.28515625" style="19" bestFit="1" customWidth="1"/>
    <col min="2" max="2" width="13.7109375" style="19" bestFit="1" customWidth="1"/>
    <col min="3" max="3" width="52.85546875" style="14" customWidth="1"/>
    <col min="4" max="4" width="21.140625" style="15" customWidth="1"/>
    <col min="5" max="5" width="45.140625" style="18" customWidth="1"/>
    <col min="6" max="14" width="9.140625" style="3"/>
    <col min="15" max="15" width="10.140625" style="3" bestFit="1" customWidth="1"/>
    <col min="16" max="16384" width="9.140625" style="3"/>
  </cols>
  <sheetData>
    <row r="1" spans="1:5" ht="14.25" customHeight="1" x14ac:dyDescent="0.2">
      <c r="A1" s="1" t="s">
        <v>0</v>
      </c>
      <c r="B1" s="1" t="s">
        <v>114</v>
      </c>
      <c r="C1" s="1" t="s">
        <v>1</v>
      </c>
      <c r="D1" s="2" t="s">
        <v>2</v>
      </c>
      <c r="E1" s="16" t="s">
        <v>3</v>
      </c>
    </row>
    <row r="2" spans="1:5" ht="14.25" customHeight="1" x14ac:dyDescent="0.2">
      <c r="A2" s="19" t="s">
        <v>4</v>
      </c>
      <c r="B2" s="19" t="s">
        <v>112</v>
      </c>
      <c r="C2" s="4" t="s">
        <v>4</v>
      </c>
      <c r="D2" s="5" t="s">
        <v>5</v>
      </c>
      <c r="E2" s="17" t="s">
        <v>6</v>
      </c>
    </row>
    <row r="3" spans="1:5" ht="14.25" customHeight="1" x14ac:dyDescent="0.2">
      <c r="A3" s="19" t="s">
        <v>4</v>
      </c>
      <c r="B3" s="19" t="s">
        <v>112</v>
      </c>
      <c r="C3" s="4" t="s">
        <v>7</v>
      </c>
      <c r="D3" s="5" t="s">
        <v>5</v>
      </c>
      <c r="E3" s="17" t="s">
        <v>6</v>
      </c>
    </row>
    <row r="4" spans="1:5" ht="14.25" customHeight="1" x14ac:dyDescent="0.2">
      <c r="A4" s="19" t="s">
        <v>4</v>
      </c>
      <c r="B4" s="19" t="s">
        <v>112</v>
      </c>
      <c r="C4" s="4" t="s">
        <v>8</v>
      </c>
      <c r="D4" s="5" t="s">
        <v>5</v>
      </c>
      <c r="E4" s="17" t="s">
        <v>6</v>
      </c>
    </row>
    <row r="5" spans="1:5" ht="14.25" customHeight="1" x14ac:dyDescent="0.2">
      <c r="A5" s="19" t="s">
        <v>4</v>
      </c>
      <c r="B5" s="19" t="s">
        <v>112</v>
      </c>
      <c r="C5" s="4" t="s">
        <v>9</v>
      </c>
      <c r="D5" s="5" t="s">
        <v>5</v>
      </c>
      <c r="E5" s="17" t="s">
        <v>6</v>
      </c>
    </row>
    <row r="6" spans="1:5" ht="14.25" customHeight="1" x14ac:dyDescent="0.2">
      <c r="A6" s="19" t="s">
        <v>4</v>
      </c>
      <c r="B6" s="19" t="s">
        <v>112</v>
      </c>
      <c r="C6" s="4" t="s">
        <v>10</v>
      </c>
      <c r="D6" s="5" t="s">
        <v>5</v>
      </c>
      <c r="E6" s="17" t="s">
        <v>6</v>
      </c>
    </row>
    <row r="7" spans="1:5" ht="14.25" customHeight="1" x14ac:dyDescent="0.2">
      <c r="A7" s="19" t="s">
        <v>4</v>
      </c>
      <c r="B7" s="19" t="s">
        <v>112</v>
      </c>
      <c r="C7" s="4" t="s">
        <v>11</v>
      </c>
      <c r="D7" s="5" t="s">
        <v>5</v>
      </c>
      <c r="E7" s="17" t="s">
        <v>6</v>
      </c>
    </row>
    <row r="8" spans="1:5" ht="14.25" customHeight="1" x14ac:dyDescent="0.2">
      <c r="A8" s="19" t="s">
        <v>4</v>
      </c>
      <c r="B8" s="19" t="s">
        <v>112</v>
      </c>
      <c r="C8" s="4" t="s">
        <v>12</v>
      </c>
      <c r="D8" s="5" t="s">
        <v>5</v>
      </c>
      <c r="E8" s="17" t="s">
        <v>6</v>
      </c>
    </row>
    <row r="9" spans="1:5" ht="14.25" customHeight="1" x14ac:dyDescent="0.2">
      <c r="A9" s="19" t="s">
        <v>4</v>
      </c>
      <c r="B9" s="19" t="s">
        <v>112</v>
      </c>
      <c r="C9" s="4" t="s">
        <v>13</v>
      </c>
      <c r="D9" s="5" t="s">
        <v>5</v>
      </c>
      <c r="E9" s="17" t="s">
        <v>6</v>
      </c>
    </row>
    <row r="10" spans="1:5" ht="14.25" customHeight="1" x14ac:dyDescent="0.2">
      <c r="A10" s="19" t="s">
        <v>4</v>
      </c>
      <c r="B10" s="19" t="s">
        <v>112</v>
      </c>
      <c r="C10" s="4" t="s">
        <v>14</v>
      </c>
      <c r="D10" s="5" t="s">
        <v>5</v>
      </c>
      <c r="E10" s="17" t="s">
        <v>6</v>
      </c>
    </row>
    <row r="11" spans="1:5" ht="14.25" customHeight="1" x14ac:dyDescent="0.2">
      <c r="A11" s="19" t="s">
        <v>4</v>
      </c>
      <c r="B11" s="19" t="s">
        <v>112</v>
      </c>
      <c r="C11" s="4" t="s">
        <v>15</v>
      </c>
      <c r="D11" s="5" t="s">
        <v>5</v>
      </c>
      <c r="E11" s="17" t="s">
        <v>6</v>
      </c>
    </row>
    <row r="12" spans="1:5" ht="14.25" customHeight="1" x14ac:dyDescent="0.2">
      <c r="A12" s="19" t="s">
        <v>4</v>
      </c>
      <c r="B12" s="19" t="s">
        <v>112</v>
      </c>
      <c r="C12" s="4" t="s">
        <v>16</v>
      </c>
      <c r="D12" s="5" t="s">
        <v>5</v>
      </c>
      <c r="E12" s="17" t="s">
        <v>6</v>
      </c>
    </row>
    <row r="13" spans="1:5" ht="14.25" customHeight="1" x14ac:dyDescent="0.2">
      <c r="A13" s="19" t="s">
        <v>4</v>
      </c>
      <c r="B13" s="19" t="s">
        <v>112</v>
      </c>
      <c r="C13" s="4" t="s">
        <v>17</v>
      </c>
      <c r="D13" s="5" t="s">
        <v>5</v>
      </c>
      <c r="E13" s="17" t="s">
        <v>6</v>
      </c>
    </row>
    <row r="14" spans="1:5" ht="14.25" customHeight="1" x14ac:dyDescent="0.2">
      <c r="A14" s="19" t="s">
        <v>4</v>
      </c>
      <c r="B14" s="19" t="s">
        <v>112</v>
      </c>
      <c r="C14" s="4" t="s">
        <v>18</v>
      </c>
      <c r="D14" s="5" t="s">
        <v>5</v>
      </c>
      <c r="E14" s="17" t="s">
        <v>6</v>
      </c>
    </row>
    <row r="15" spans="1:5" ht="14.25" customHeight="1" x14ac:dyDescent="0.2">
      <c r="A15" s="19" t="s">
        <v>4</v>
      </c>
      <c r="B15" s="19" t="s">
        <v>112</v>
      </c>
      <c r="C15" s="4" t="s">
        <v>19</v>
      </c>
      <c r="D15" s="5" t="s">
        <v>5</v>
      </c>
      <c r="E15" s="17" t="s">
        <v>6</v>
      </c>
    </row>
    <row r="16" spans="1:5" ht="14.25" customHeight="1" x14ac:dyDescent="0.2">
      <c r="A16" s="19" t="s">
        <v>4</v>
      </c>
      <c r="B16" s="19" t="s">
        <v>112</v>
      </c>
      <c r="C16" s="4" t="s">
        <v>20</v>
      </c>
      <c r="D16" s="5" t="s">
        <v>5</v>
      </c>
      <c r="E16" s="17" t="s">
        <v>6</v>
      </c>
    </row>
    <row r="17" spans="1:5" ht="14.25" customHeight="1" x14ac:dyDescent="0.2">
      <c r="A17" s="19" t="s">
        <v>4</v>
      </c>
      <c r="B17" s="19" t="s">
        <v>112</v>
      </c>
      <c r="C17" s="4" t="s">
        <v>21</v>
      </c>
      <c r="D17" s="5" t="s">
        <v>5</v>
      </c>
      <c r="E17" s="17" t="s">
        <v>6</v>
      </c>
    </row>
    <row r="18" spans="1:5" ht="14.25" customHeight="1" x14ac:dyDescent="0.2">
      <c r="A18" s="19" t="s">
        <v>4</v>
      </c>
      <c r="B18" s="19" t="s">
        <v>112</v>
      </c>
      <c r="C18" s="4" t="s">
        <v>22</v>
      </c>
      <c r="D18" s="5" t="s">
        <v>5</v>
      </c>
      <c r="E18" s="17" t="s">
        <v>6</v>
      </c>
    </row>
    <row r="19" spans="1:5" ht="14.25" customHeight="1" x14ac:dyDescent="0.2">
      <c r="A19" s="19" t="s">
        <v>4</v>
      </c>
      <c r="B19" s="19" t="s">
        <v>112</v>
      </c>
      <c r="C19" s="4" t="s">
        <v>23</v>
      </c>
      <c r="D19" s="5" t="s">
        <v>5</v>
      </c>
      <c r="E19" s="17" t="s">
        <v>6</v>
      </c>
    </row>
    <row r="20" spans="1:5" ht="14.25" customHeight="1" x14ac:dyDescent="0.2">
      <c r="A20" s="19" t="s">
        <v>4</v>
      </c>
      <c r="B20" s="19" t="s">
        <v>112</v>
      </c>
      <c r="C20" s="4" t="s">
        <v>24</v>
      </c>
      <c r="D20" s="5" t="s">
        <v>5</v>
      </c>
      <c r="E20" s="17" t="s">
        <v>6</v>
      </c>
    </row>
    <row r="21" spans="1:5" ht="14.25" customHeight="1" x14ac:dyDescent="0.2">
      <c r="A21" s="19" t="s">
        <v>4</v>
      </c>
      <c r="B21" s="19" t="s">
        <v>112</v>
      </c>
      <c r="C21" s="4" t="s">
        <v>25</v>
      </c>
      <c r="D21" s="5" t="s">
        <v>5</v>
      </c>
      <c r="E21" s="17" t="s">
        <v>6</v>
      </c>
    </row>
    <row r="22" spans="1:5" ht="14.25" customHeight="1" x14ac:dyDescent="0.2">
      <c r="A22" s="19" t="s">
        <v>4</v>
      </c>
      <c r="B22" s="19" t="s">
        <v>112</v>
      </c>
      <c r="C22" s="4" t="s">
        <v>26</v>
      </c>
      <c r="D22" s="5" t="s">
        <v>5</v>
      </c>
      <c r="E22" s="17" t="s">
        <v>6</v>
      </c>
    </row>
    <row r="23" spans="1:5" ht="14.25" customHeight="1" x14ac:dyDescent="0.2">
      <c r="A23" s="19" t="s">
        <v>4</v>
      </c>
      <c r="B23" s="19" t="s">
        <v>112</v>
      </c>
      <c r="C23" s="4" t="s">
        <v>27</v>
      </c>
      <c r="D23" s="5" t="s">
        <v>5</v>
      </c>
      <c r="E23" s="17" t="s">
        <v>6</v>
      </c>
    </row>
    <row r="24" spans="1:5" ht="14.25" customHeight="1" x14ac:dyDescent="0.2">
      <c r="A24" s="19" t="s">
        <v>4</v>
      </c>
      <c r="B24" s="19" t="s">
        <v>112</v>
      </c>
      <c r="C24" s="4" t="s">
        <v>28</v>
      </c>
      <c r="D24" s="5" t="s">
        <v>5</v>
      </c>
      <c r="E24" s="17" t="s">
        <v>6</v>
      </c>
    </row>
    <row r="25" spans="1:5" ht="14.25" customHeight="1" x14ac:dyDescent="0.2">
      <c r="A25" s="19" t="s">
        <v>29</v>
      </c>
      <c r="B25" s="19" t="s">
        <v>111</v>
      </c>
      <c r="C25" s="6" t="s">
        <v>4</v>
      </c>
      <c r="D25" s="5" t="s">
        <v>5</v>
      </c>
      <c r="E25" s="17" t="s">
        <v>6</v>
      </c>
    </row>
    <row r="26" spans="1:5" ht="14.25" customHeight="1" x14ac:dyDescent="0.2">
      <c r="A26" s="19" t="s">
        <v>29</v>
      </c>
      <c r="B26" s="19" t="s">
        <v>111</v>
      </c>
      <c r="C26" s="6" t="s">
        <v>7</v>
      </c>
      <c r="D26" s="5" t="s">
        <v>5</v>
      </c>
      <c r="E26" s="17" t="s">
        <v>6</v>
      </c>
    </row>
    <row r="27" spans="1:5" ht="14.25" customHeight="1" x14ac:dyDescent="0.2">
      <c r="A27" s="19" t="s">
        <v>29</v>
      </c>
      <c r="B27" s="19" t="s">
        <v>111</v>
      </c>
      <c r="C27" s="6" t="s">
        <v>8</v>
      </c>
      <c r="D27" s="5" t="s">
        <v>5</v>
      </c>
      <c r="E27" s="17" t="s">
        <v>6</v>
      </c>
    </row>
    <row r="28" spans="1:5" ht="14.25" customHeight="1" x14ac:dyDescent="0.2">
      <c r="A28" s="19" t="s">
        <v>29</v>
      </c>
      <c r="B28" s="19" t="s">
        <v>111</v>
      </c>
      <c r="C28" s="6" t="s">
        <v>9</v>
      </c>
      <c r="D28" s="5" t="s">
        <v>5</v>
      </c>
      <c r="E28" s="17" t="s">
        <v>6</v>
      </c>
    </row>
    <row r="29" spans="1:5" ht="14.25" customHeight="1" x14ac:dyDescent="0.2">
      <c r="A29" s="19" t="s">
        <v>29</v>
      </c>
      <c r="B29" s="19" t="s">
        <v>111</v>
      </c>
      <c r="C29" s="6" t="s">
        <v>10</v>
      </c>
      <c r="D29" s="5" t="s">
        <v>5</v>
      </c>
      <c r="E29" s="17" t="s">
        <v>6</v>
      </c>
    </row>
    <row r="30" spans="1:5" ht="14.25" customHeight="1" x14ac:dyDescent="0.2">
      <c r="A30" s="19" t="s">
        <v>29</v>
      </c>
      <c r="B30" s="19" t="s">
        <v>111</v>
      </c>
      <c r="C30" s="6" t="s">
        <v>11</v>
      </c>
      <c r="D30" s="5" t="s">
        <v>5</v>
      </c>
      <c r="E30" s="17" t="s">
        <v>6</v>
      </c>
    </row>
    <row r="31" spans="1:5" ht="14.25" customHeight="1" x14ac:dyDescent="0.2">
      <c r="A31" s="19" t="s">
        <v>29</v>
      </c>
      <c r="B31" s="19" t="s">
        <v>111</v>
      </c>
      <c r="C31" s="6" t="s">
        <v>12</v>
      </c>
      <c r="D31" s="5" t="s">
        <v>5</v>
      </c>
      <c r="E31" s="17" t="s">
        <v>6</v>
      </c>
    </row>
    <row r="32" spans="1:5" ht="14.25" customHeight="1" x14ac:dyDescent="0.2">
      <c r="A32" s="19" t="s">
        <v>29</v>
      </c>
      <c r="B32" s="19" t="s">
        <v>111</v>
      </c>
      <c r="C32" s="6" t="s">
        <v>13</v>
      </c>
      <c r="D32" s="5" t="s">
        <v>5</v>
      </c>
      <c r="E32" s="17" t="s">
        <v>6</v>
      </c>
    </row>
    <row r="33" spans="1:5" ht="14.25" customHeight="1" x14ac:dyDescent="0.2">
      <c r="A33" s="19" t="s">
        <v>29</v>
      </c>
      <c r="B33" s="19" t="s">
        <v>111</v>
      </c>
      <c r="C33" s="6" t="s">
        <v>14</v>
      </c>
      <c r="D33" s="5" t="s">
        <v>5</v>
      </c>
      <c r="E33" s="17" t="s">
        <v>6</v>
      </c>
    </row>
    <row r="34" spans="1:5" ht="14.25" customHeight="1" x14ac:dyDescent="0.2">
      <c r="A34" s="19" t="s">
        <v>29</v>
      </c>
      <c r="B34" s="19" t="s">
        <v>111</v>
      </c>
      <c r="C34" s="6" t="s">
        <v>15</v>
      </c>
      <c r="D34" s="5" t="s">
        <v>5</v>
      </c>
      <c r="E34" s="17" t="s">
        <v>6</v>
      </c>
    </row>
    <row r="35" spans="1:5" ht="14.25" customHeight="1" x14ac:dyDescent="0.2">
      <c r="A35" s="19" t="s">
        <v>29</v>
      </c>
      <c r="B35" s="19" t="s">
        <v>111</v>
      </c>
      <c r="C35" s="6" t="s">
        <v>16</v>
      </c>
      <c r="D35" s="5" t="s">
        <v>5</v>
      </c>
      <c r="E35" s="17" t="s">
        <v>6</v>
      </c>
    </row>
    <row r="36" spans="1:5" ht="14.25" customHeight="1" x14ac:dyDescent="0.2">
      <c r="A36" s="19" t="s">
        <v>29</v>
      </c>
      <c r="B36" s="19" t="s">
        <v>111</v>
      </c>
      <c r="C36" s="6" t="s">
        <v>17</v>
      </c>
      <c r="D36" s="5" t="s">
        <v>5</v>
      </c>
      <c r="E36" s="17" t="s">
        <v>6</v>
      </c>
    </row>
    <row r="37" spans="1:5" ht="14.25" customHeight="1" x14ac:dyDescent="0.2">
      <c r="A37" s="19" t="s">
        <v>29</v>
      </c>
      <c r="B37" s="19" t="s">
        <v>111</v>
      </c>
      <c r="C37" s="6" t="s">
        <v>18</v>
      </c>
      <c r="D37" s="5" t="s">
        <v>5</v>
      </c>
      <c r="E37" s="17" t="s">
        <v>6</v>
      </c>
    </row>
    <row r="38" spans="1:5" ht="14.25" customHeight="1" x14ac:dyDescent="0.2">
      <c r="A38" s="19" t="s">
        <v>29</v>
      </c>
      <c r="B38" s="19" t="s">
        <v>111</v>
      </c>
      <c r="C38" s="6" t="s">
        <v>19</v>
      </c>
      <c r="D38" s="5" t="s">
        <v>5</v>
      </c>
      <c r="E38" s="17" t="s">
        <v>6</v>
      </c>
    </row>
    <row r="39" spans="1:5" ht="14.25" customHeight="1" x14ac:dyDescent="0.2">
      <c r="A39" s="19" t="s">
        <v>29</v>
      </c>
      <c r="B39" s="19" t="s">
        <v>111</v>
      </c>
      <c r="C39" s="6" t="s">
        <v>20</v>
      </c>
      <c r="D39" s="5" t="s">
        <v>5</v>
      </c>
      <c r="E39" s="17" t="s">
        <v>6</v>
      </c>
    </row>
    <row r="40" spans="1:5" ht="14.25" customHeight="1" x14ac:dyDescent="0.2">
      <c r="A40" s="19" t="s">
        <v>29</v>
      </c>
      <c r="B40" s="19" t="s">
        <v>111</v>
      </c>
      <c r="C40" s="6" t="s">
        <v>21</v>
      </c>
      <c r="D40" s="5" t="s">
        <v>5</v>
      </c>
      <c r="E40" s="17" t="s">
        <v>6</v>
      </c>
    </row>
    <row r="41" spans="1:5" ht="14.25" customHeight="1" x14ac:dyDescent="0.2">
      <c r="A41" s="19" t="s">
        <v>29</v>
      </c>
      <c r="B41" s="19" t="s">
        <v>111</v>
      </c>
      <c r="C41" s="6" t="s">
        <v>22</v>
      </c>
      <c r="D41" s="5" t="s">
        <v>5</v>
      </c>
      <c r="E41" s="17" t="s">
        <v>6</v>
      </c>
    </row>
    <row r="42" spans="1:5" ht="14.25" customHeight="1" x14ac:dyDescent="0.2">
      <c r="A42" s="19" t="s">
        <v>29</v>
      </c>
      <c r="B42" s="19" t="s">
        <v>111</v>
      </c>
      <c r="C42" s="6" t="s">
        <v>23</v>
      </c>
      <c r="D42" s="5" t="s">
        <v>5</v>
      </c>
      <c r="E42" s="17" t="s">
        <v>6</v>
      </c>
    </row>
    <row r="43" spans="1:5" ht="14.25" customHeight="1" x14ac:dyDescent="0.2">
      <c r="A43" s="19" t="s">
        <v>29</v>
      </c>
      <c r="B43" s="19" t="s">
        <v>111</v>
      </c>
      <c r="C43" s="6" t="s">
        <v>24</v>
      </c>
      <c r="D43" s="5" t="s">
        <v>5</v>
      </c>
      <c r="E43" s="17" t="s">
        <v>6</v>
      </c>
    </row>
    <row r="44" spans="1:5" ht="14.25" customHeight="1" x14ac:dyDescent="0.2">
      <c r="A44" s="19" t="s">
        <v>29</v>
      </c>
      <c r="B44" s="19" t="s">
        <v>111</v>
      </c>
      <c r="C44" s="6" t="s">
        <v>25</v>
      </c>
      <c r="D44" s="5" t="s">
        <v>5</v>
      </c>
      <c r="E44" s="17" t="s">
        <v>6</v>
      </c>
    </row>
    <row r="45" spans="1:5" ht="14.25" customHeight="1" x14ac:dyDescent="0.2">
      <c r="A45" s="19" t="s">
        <v>29</v>
      </c>
      <c r="B45" s="19" t="s">
        <v>111</v>
      </c>
      <c r="C45" s="6" t="s">
        <v>26</v>
      </c>
      <c r="D45" s="5" t="s">
        <v>5</v>
      </c>
      <c r="E45" s="17" t="s">
        <v>6</v>
      </c>
    </row>
    <row r="46" spans="1:5" ht="14.25" customHeight="1" x14ac:dyDescent="0.2">
      <c r="A46" s="19" t="s">
        <v>29</v>
      </c>
      <c r="B46" s="19" t="s">
        <v>111</v>
      </c>
      <c r="C46" s="6" t="s">
        <v>27</v>
      </c>
      <c r="D46" s="5" t="s">
        <v>5</v>
      </c>
      <c r="E46" s="17" t="s">
        <v>6</v>
      </c>
    </row>
    <row r="47" spans="1:5" ht="14.25" customHeight="1" x14ac:dyDescent="0.2">
      <c r="A47" s="19" t="s">
        <v>29</v>
      </c>
      <c r="B47" s="19" t="s">
        <v>111</v>
      </c>
      <c r="C47" s="6" t="s">
        <v>28</v>
      </c>
      <c r="D47" s="5" t="s">
        <v>5</v>
      </c>
      <c r="E47" s="17" t="s">
        <v>6</v>
      </c>
    </row>
    <row r="48" spans="1:5" ht="14.25" customHeight="1" x14ac:dyDescent="0.2">
      <c r="A48" s="19" t="s">
        <v>29</v>
      </c>
      <c r="B48" s="19" t="s">
        <v>111</v>
      </c>
      <c r="C48" s="6" t="s">
        <v>30</v>
      </c>
      <c r="D48" s="5" t="s">
        <v>5</v>
      </c>
      <c r="E48" s="17" t="s">
        <v>6</v>
      </c>
    </row>
    <row r="49" spans="1:5" ht="14.25" customHeight="1" x14ac:dyDescent="0.2">
      <c r="A49" s="19" t="s">
        <v>29</v>
      </c>
      <c r="B49" s="19" t="s">
        <v>111</v>
      </c>
      <c r="C49" s="6" t="s">
        <v>31</v>
      </c>
      <c r="D49" s="5" t="s">
        <v>5</v>
      </c>
      <c r="E49" s="17" t="s">
        <v>6</v>
      </c>
    </row>
    <row r="50" spans="1:5" ht="14.25" customHeight="1" x14ac:dyDescent="0.2">
      <c r="A50" s="19" t="s">
        <v>32</v>
      </c>
      <c r="B50" s="19" t="s">
        <v>113</v>
      </c>
      <c r="C50" s="24" t="s">
        <v>33</v>
      </c>
      <c r="D50" s="5" t="s">
        <v>5</v>
      </c>
      <c r="E50" s="17" t="s">
        <v>6</v>
      </c>
    </row>
    <row r="51" spans="1:5" ht="14.25" customHeight="1" x14ac:dyDescent="0.2">
      <c r="A51" s="19" t="s">
        <v>32</v>
      </c>
      <c r="B51" s="19" t="s">
        <v>113</v>
      </c>
      <c r="C51" s="24" t="s">
        <v>34</v>
      </c>
      <c r="D51" s="5" t="s">
        <v>5</v>
      </c>
      <c r="E51" s="17" t="s">
        <v>6</v>
      </c>
    </row>
    <row r="52" spans="1:5" ht="14.25" customHeight="1" x14ac:dyDescent="0.2">
      <c r="A52" s="19" t="s">
        <v>32</v>
      </c>
      <c r="B52" s="19" t="s">
        <v>113</v>
      </c>
      <c r="C52" s="24" t="s">
        <v>35</v>
      </c>
      <c r="D52" s="5" t="s">
        <v>5</v>
      </c>
      <c r="E52" s="17" t="s">
        <v>6</v>
      </c>
    </row>
    <row r="53" spans="1:5" ht="14.25" customHeight="1" x14ac:dyDescent="0.2">
      <c r="A53" s="19" t="s">
        <v>32</v>
      </c>
      <c r="B53" s="19" t="s">
        <v>113</v>
      </c>
      <c r="C53" s="24" t="s">
        <v>47</v>
      </c>
      <c r="D53" s="5" t="s">
        <v>5</v>
      </c>
      <c r="E53" s="17" t="s">
        <v>6</v>
      </c>
    </row>
    <row r="54" spans="1:5" ht="14.25" customHeight="1" x14ac:dyDescent="0.2">
      <c r="A54" s="19" t="s">
        <v>32</v>
      </c>
      <c r="B54" s="19" t="s">
        <v>113</v>
      </c>
      <c r="C54" s="24" t="s">
        <v>48</v>
      </c>
      <c r="D54" s="5" t="s">
        <v>5</v>
      </c>
      <c r="E54" s="17" t="s">
        <v>6</v>
      </c>
    </row>
    <row r="55" spans="1:5" ht="14.25" customHeight="1" x14ac:dyDescent="0.2">
      <c r="A55" s="19" t="s">
        <v>36</v>
      </c>
      <c r="B55" s="19" t="s">
        <v>36</v>
      </c>
      <c r="C55" s="7" t="s">
        <v>37</v>
      </c>
      <c r="D55" s="5" t="s">
        <v>5</v>
      </c>
      <c r="E55" s="17" t="s">
        <v>6</v>
      </c>
    </row>
    <row r="56" spans="1:5" ht="14.25" customHeight="1" x14ac:dyDescent="0.2">
      <c r="A56" s="19" t="s">
        <v>36</v>
      </c>
      <c r="B56" s="19" t="s">
        <v>36</v>
      </c>
      <c r="C56" s="7" t="s">
        <v>38</v>
      </c>
      <c r="D56" s="5" t="s">
        <v>5</v>
      </c>
      <c r="E56" s="17" t="s">
        <v>6</v>
      </c>
    </row>
    <row r="57" spans="1:5" ht="14.25" customHeight="1" x14ac:dyDescent="0.2">
      <c r="A57" s="19" t="s">
        <v>36</v>
      </c>
      <c r="B57" s="19" t="s">
        <v>36</v>
      </c>
      <c r="C57" s="7" t="s">
        <v>39</v>
      </c>
      <c r="D57" s="5" t="s">
        <v>5</v>
      </c>
      <c r="E57" s="17" t="s">
        <v>6</v>
      </c>
    </row>
    <row r="58" spans="1:5" ht="14.25" customHeight="1" x14ac:dyDescent="0.2">
      <c r="A58" s="19" t="s">
        <v>36</v>
      </c>
      <c r="B58" s="19" t="s">
        <v>36</v>
      </c>
      <c r="C58" s="7" t="s">
        <v>40</v>
      </c>
      <c r="D58" s="5" t="s">
        <v>5</v>
      </c>
      <c r="E58" s="17" t="s">
        <v>6</v>
      </c>
    </row>
    <row r="59" spans="1:5" ht="14.25" customHeight="1" x14ac:dyDescent="0.2">
      <c r="A59" s="19" t="s">
        <v>36</v>
      </c>
      <c r="B59" s="19" t="s">
        <v>36</v>
      </c>
      <c r="C59" s="7" t="s">
        <v>41</v>
      </c>
      <c r="D59" s="5" t="s">
        <v>5</v>
      </c>
      <c r="E59" s="17" t="s">
        <v>6</v>
      </c>
    </row>
    <row r="60" spans="1:5" ht="14.25" customHeight="1" x14ac:dyDescent="0.2">
      <c r="A60" s="19" t="s">
        <v>36</v>
      </c>
      <c r="B60" s="19" t="s">
        <v>36</v>
      </c>
      <c r="C60" s="7" t="s">
        <v>42</v>
      </c>
      <c r="D60" s="5" t="s">
        <v>5</v>
      </c>
      <c r="E60" s="17" t="s">
        <v>6</v>
      </c>
    </row>
    <row r="61" spans="1:5" ht="14.25" customHeight="1" x14ac:dyDescent="0.2">
      <c r="A61" s="19" t="s">
        <v>36</v>
      </c>
      <c r="B61" s="19" t="s">
        <v>36</v>
      </c>
      <c r="C61" s="7" t="s">
        <v>43</v>
      </c>
      <c r="D61" s="5" t="s">
        <v>5</v>
      </c>
      <c r="E61" s="17" t="s">
        <v>6</v>
      </c>
    </row>
    <row r="62" spans="1:5" ht="14.25" customHeight="1" x14ac:dyDescent="0.2">
      <c r="A62" s="19" t="s">
        <v>36</v>
      </c>
      <c r="B62" s="19" t="s">
        <v>36</v>
      </c>
      <c r="C62" s="7" t="s">
        <v>44</v>
      </c>
      <c r="D62" s="5" t="s">
        <v>5</v>
      </c>
      <c r="E62" s="17" t="s">
        <v>6</v>
      </c>
    </row>
    <row r="63" spans="1:5" ht="14.25" customHeight="1" x14ac:dyDescent="0.2">
      <c r="A63" s="19" t="s">
        <v>36</v>
      </c>
      <c r="B63" s="19" t="s">
        <v>36</v>
      </c>
      <c r="C63" s="7" t="s">
        <v>45</v>
      </c>
      <c r="D63" s="5" t="s">
        <v>5</v>
      </c>
      <c r="E63" s="17" t="s">
        <v>6</v>
      </c>
    </row>
    <row r="64" spans="1:5" ht="14.25" customHeight="1" x14ac:dyDescent="0.2">
      <c r="A64" s="19" t="s">
        <v>36</v>
      </c>
      <c r="B64" s="19" t="s">
        <v>36</v>
      </c>
      <c r="C64" s="7" t="s">
        <v>46</v>
      </c>
      <c r="D64" s="5" t="s">
        <v>5</v>
      </c>
      <c r="E64" s="17" t="s">
        <v>6</v>
      </c>
    </row>
    <row r="65" spans="1:5" ht="14.25" customHeight="1" x14ac:dyDescent="0.2">
      <c r="A65" s="19" t="s">
        <v>36</v>
      </c>
      <c r="B65" s="19" t="s">
        <v>36</v>
      </c>
      <c r="C65" s="7" t="s">
        <v>49</v>
      </c>
      <c r="D65" s="5" t="s">
        <v>5</v>
      </c>
      <c r="E65" s="17" t="s">
        <v>6</v>
      </c>
    </row>
    <row r="66" spans="1:5" ht="14.25" customHeight="1" x14ac:dyDescent="0.2">
      <c r="A66" s="19" t="s">
        <v>36</v>
      </c>
      <c r="B66" s="19" t="s">
        <v>36</v>
      </c>
      <c r="C66" s="7" t="s">
        <v>50</v>
      </c>
      <c r="D66" s="5" t="s">
        <v>5</v>
      </c>
      <c r="E66" s="17" t="s">
        <v>6</v>
      </c>
    </row>
    <row r="67" spans="1:5" ht="14.25" customHeight="1" x14ac:dyDescent="0.2">
      <c r="A67" s="19" t="s">
        <v>36</v>
      </c>
      <c r="B67" s="19" t="s">
        <v>36</v>
      </c>
      <c r="C67" s="7" t="s">
        <v>51</v>
      </c>
      <c r="D67" s="5" t="s">
        <v>5</v>
      </c>
      <c r="E67" s="17" t="s">
        <v>6</v>
      </c>
    </row>
    <row r="68" spans="1:5" ht="14.25" customHeight="1" x14ac:dyDescent="0.2">
      <c r="A68" s="19" t="s">
        <v>36</v>
      </c>
      <c r="B68" s="19" t="s">
        <v>36</v>
      </c>
      <c r="C68" s="7" t="s">
        <v>52</v>
      </c>
      <c r="D68" s="5" t="s">
        <v>5</v>
      </c>
      <c r="E68" s="17" t="s">
        <v>6</v>
      </c>
    </row>
    <row r="69" spans="1:5" ht="14.25" customHeight="1" x14ac:dyDescent="0.2">
      <c r="A69" s="19" t="s">
        <v>36</v>
      </c>
      <c r="B69" s="19" t="s">
        <v>36</v>
      </c>
      <c r="C69" s="7" t="s">
        <v>53</v>
      </c>
      <c r="D69" s="5" t="s">
        <v>5</v>
      </c>
      <c r="E69" s="17" t="s">
        <v>6</v>
      </c>
    </row>
    <row r="70" spans="1:5" ht="14.25" customHeight="1" x14ac:dyDescent="0.2">
      <c r="A70" s="19" t="s">
        <v>36</v>
      </c>
      <c r="B70" s="19" t="s">
        <v>36</v>
      </c>
      <c r="C70" s="7" t="s">
        <v>54</v>
      </c>
      <c r="D70" s="5" t="s">
        <v>5</v>
      </c>
      <c r="E70" s="17" t="s">
        <v>6</v>
      </c>
    </row>
    <row r="71" spans="1:5" ht="14.25" customHeight="1" x14ac:dyDescent="0.2">
      <c r="A71" s="19" t="s">
        <v>115</v>
      </c>
      <c r="B71" s="19" t="s">
        <v>115</v>
      </c>
      <c r="C71" s="4" t="s">
        <v>55</v>
      </c>
      <c r="D71" s="5" t="s">
        <v>5</v>
      </c>
      <c r="E71" s="17" t="s">
        <v>6</v>
      </c>
    </row>
    <row r="72" spans="1:5" ht="14.25" customHeight="1" x14ac:dyDescent="0.2">
      <c r="A72" s="19" t="s">
        <v>115</v>
      </c>
      <c r="B72" s="19" t="s">
        <v>115</v>
      </c>
      <c r="C72" s="4" t="s">
        <v>56</v>
      </c>
      <c r="D72" s="5" t="s">
        <v>5</v>
      </c>
      <c r="E72" s="17" t="s">
        <v>6</v>
      </c>
    </row>
    <row r="73" spans="1:5" ht="14.25" customHeight="1" x14ac:dyDescent="0.2">
      <c r="A73" s="19" t="s">
        <v>115</v>
      </c>
      <c r="B73" s="19" t="s">
        <v>115</v>
      </c>
      <c r="C73" s="4" t="s">
        <v>57</v>
      </c>
      <c r="D73" s="5" t="s">
        <v>5</v>
      </c>
      <c r="E73" s="17" t="s">
        <v>6</v>
      </c>
    </row>
    <row r="74" spans="1:5" ht="14.25" customHeight="1" x14ac:dyDescent="0.2">
      <c r="A74" s="19" t="s">
        <v>115</v>
      </c>
      <c r="B74" s="19" t="s">
        <v>115</v>
      </c>
      <c r="C74" s="4" t="s">
        <v>58</v>
      </c>
      <c r="D74" s="5" t="s">
        <v>5</v>
      </c>
      <c r="E74" s="17" t="s">
        <v>6</v>
      </c>
    </row>
    <row r="75" spans="1:5" ht="14.25" customHeight="1" x14ac:dyDescent="0.2">
      <c r="A75" s="19" t="s">
        <v>115</v>
      </c>
      <c r="B75" s="19" t="s">
        <v>115</v>
      </c>
      <c r="C75" s="4" t="s">
        <v>59</v>
      </c>
      <c r="D75" s="5" t="s">
        <v>5</v>
      </c>
      <c r="E75" s="17" t="s">
        <v>6</v>
      </c>
    </row>
    <row r="76" spans="1:5" ht="14.25" customHeight="1" x14ac:dyDescent="0.2">
      <c r="A76" s="19" t="s">
        <v>60</v>
      </c>
      <c r="B76" s="19" t="s">
        <v>60</v>
      </c>
      <c r="C76" s="8" t="s">
        <v>61</v>
      </c>
      <c r="D76" s="5" t="s">
        <v>5</v>
      </c>
      <c r="E76" s="17" t="s">
        <v>6</v>
      </c>
    </row>
    <row r="77" spans="1:5" ht="14.25" customHeight="1" x14ac:dyDescent="0.2">
      <c r="A77" s="19" t="s">
        <v>60</v>
      </c>
      <c r="B77" s="19" t="s">
        <v>60</v>
      </c>
      <c r="C77" s="8" t="s">
        <v>62</v>
      </c>
      <c r="D77" s="5" t="s">
        <v>5</v>
      </c>
      <c r="E77" s="17" t="s">
        <v>6</v>
      </c>
    </row>
    <row r="78" spans="1:5" ht="14.25" customHeight="1" x14ac:dyDescent="0.2">
      <c r="A78" s="19" t="s">
        <v>60</v>
      </c>
      <c r="B78" s="19" t="s">
        <v>60</v>
      </c>
      <c r="C78" s="8" t="s">
        <v>63</v>
      </c>
      <c r="D78" s="5" t="s">
        <v>5</v>
      </c>
      <c r="E78" s="17" t="s">
        <v>6</v>
      </c>
    </row>
    <row r="79" spans="1:5" ht="14.25" customHeight="1" x14ac:dyDescent="0.2">
      <c r="A79" s="19" t="s">
        <v>60</v>
      </c>
      <c r="B79" s="19" t="s">
        <v>60</v>
      </c>
      <c r="C79" s="8" t="s">
        <v>64</v>
      </c>
      <c r="D79" s="5" t="s">
        <v>5</v>
      </c>
      <c r="E79" s="17" t="s">
        <v>6</v>
      </c>
    </row>
    <row r="80" spans="1:5" ht="14.25" customHeight="1" x14ac:dyDescent="0.2">
      <c r="A80" s="19" t="s">
        <v>60</v>
      </c>
      <c r="B80" s="19" t="s">
        <v>60</v>
      </c>
      <c r="C80" s="8" t="s">
        <v>65</v>
      </c>
      <c r="D80" s="5" t="s">
        <v>5</v>
      </c>
      <c r="E80" s="17" t="s">
        <v>6</v>
      </c>
    </row>
    <row r="81" spans="1:5" ht="14.25" customHeight="1" x14ac:dyDescent="0.2">
      <c r="A81" s="19" t="s">
        <v>66</v>
      </c>
      <c r="B81" s="19" t="s">
        <v>67</v>
      </c>
      <c r="C81" s="9" t="s">
        <v>67</v>
      </c>
      <c r="D81" s="5" t="s">
        <v>68</v>
      </c>
      <c r="E81" s="17" t="s">
        <v>6</v>
      </c>
    </row>
    <row r="82" spans="1:5" ht="14.25" customHeight="1" x14ac:dyDescent="0.2">
      <c r="A82" s="19" t="s">
        <v>66</v>
      </c>
      <c r="B82" s="19" t="s">
        <v>66</v>
      </c>
      <c r="C82" s="9" t="s">
        <v>69</v>
      </c>
      <c r="D82" s="5" t="s">
        <v>68</v>
      </c>
      <c r="E82" s="17" t="s">
        <v>6</v>
      </c>
    </row>
    <row r="83" spans="1:5" ht="14.25" customHeight="1" x14ac:dyDescent="0.2">
      <c r="A83" s="19" t="s">
        <v>66</v>
      </c>
      <c r="B83" s="19" t="s">
        <v>66</v>
      </c>
      <c r="C83" s="9" t="s">
        <v>70</v>
      </c>
      <c r="D83" s="5" t="s">
        <v>68</v>
      </c>
      <c r="E83" s="17" t="s">
        <v>6</v>
      </c>
    </row>
    <row r="84" spans="1:5" ht="14.25" customHeight="1" x14ac:dyDescent="0.2">
      <c r="A84" s="19" t="s">
        <v>66</v>
      </c>
      <c r="B84" s="19" t="s">
        <v>66</v>
      </c>
      <c r="C84" s="9" t="s">
        <v>71</v>
      </c>
      <c r="D84" s="5" t="s">
        <v>68</v>
      </c>
      <c r="E84" s="17" t="s">
        <v>6</v>
      </c>
    </row>
    <row r="85" spans="1:5" ht="14.25" customHeight="1" x14ac:dyDescent="0.2">
      <c r="A85" s="19" t="s">
        <v>66</v>
      </c>
      <c r="B85" s="19" t="s">
        <v>66</v>
      </c>
      <c r="C85" s="9" t="s">
        <v>72</v>
      </c>
      <c r="D85" s="5" t="s">
        <v>68</v>
      </c>
      <c r="E85" s="17" t="s">
        <v>6</v>
      </c>
    </row>
    <row r="86" spans="1:5" ht="14.25" customHeight="1" x14ac:dyDescent="0.2">
      <c r="A86" s="19" t="s">
        <v>66</v>
      </c>
      <c r="B86" s="19" t="s">
        <v>66</v>
      </c>
      <c r="C86" s="9" t="s">
        <v>73</v>
      </c>
      <c r="D86" s="5" t="s">
        <v>68</v>
      </c>
      <c r="E86" s="17" t="s">
        <v>6</v>
      </c>
    </row>
    <row r="87" spans="1:5" ht="14.25" customHeight="1" x14ac:dyDescent="0.2">
      <c r="A87" s="19" t="s">
        <v>66</v>
      </c>
      <c r="B87" s="19" t="s">
        <v>66</v>
      </c>
      <c r="C87" s="9" t="s">
        <v>74</v>
      </c>
      <c r="D87" s="5" t="s">
        <v>68</v>
      </c>
      <c r="E87" s="17" t="s">
        <v>6</v>
      </c>
    </row>
    <row r="88" spans="1:5" ht="14.25" customHeight="1" x14ac:dyDescent="0.2">
      <c r="A88" s="19" t="s">
        <v>66</v>
      </c>
      <c r="B88" s="19" t="s">
        <v>66</v>
      </c>
      <c r="C88" s="9" t="s">
        <v>75</v>
      </c>
      <c r="D88" s="5" t="s">
        <v>68</v>
      </c>
      <c r="E88" s="17" t="s">
        <v>6</v>
      </c>
    </row>
    <row r="89" spans="1:5" ht="14.25" customHeight="1" x14ac:dyDescent="0.2">
      <c r="A89" s="19" t="s">
        <v>66</v>
      </c>
      <c r="B89" s="19" t="s">
        <v>66</v>
      </c>
      <c r="C89" s="9" t="s">
        <v>76</v>
      </c>
      <c r="D89" s="5" t="s">
        <v>68</v>
      </c>
      <c r="E89" s="17" t="s">
        <v>6</v>
      </c>
    </row>
    <row r="90" spans="1:5" ht="14.25" customHeight="1" x14ac:dyDescent="0.2">
      <c r="A90" s="19" t="s">
        <v>66</v>
      </c>
      <c r="B90" s="19" t="s">
        <v>66</v>
      </c>
      <c r="C90" s="9" t="s">
        <v>77</v>
      </c>
      <c r="D90" s="5" t="s">
        <v>68</v>
      </c>
      <c r="E90" s="17" t="s">
        <v>6</v>
      </c>
    </row>
    <row r="91" spans="1:5" ht="14.25" customHeight="1" x14ac:dyDescent="0.2">
      <c r="A91" s="19" t="s">
        <v>66</v>
      </c>
      <c r="B91" s="19" t="s">
        <v>66</v>
      </c>
      <c r="C91" s="9" t="s">
        <v>78</v>
      </c>
      <c r="D91" s="5" t="s">
        <v>68</v>
      </c>
      <c r="E91" s="17" t="s">
        <v>6</v>
      </c>
    </row>
    <row r="92" spans="1:5" ht="14.25" customHeight="1" x14ac:dyDescent="0.2">
      <c r="A92" s="19" t="s">
        <v>66</v>
      </c>
      <c r="B92" s="19" t="s">
        <v>79</v>
      </c>
      <c r="C92" s="9" t="s">
        <v>79</v>
      </c>
      <c r="D92" s="5" t="s">
        <v>68</v>
      </c>
      <c r="E92" s="17" t="s">
        <v>6</v>
      </c>
    </row>
    <row r="93" spans="1:5" ht="14.25" customHeight="1" x14ac:dyDescent="0.2">
      <c r="A93" s="19" t="s">
        <v>66</v>
      </c>
      <c r="B93" s="19" t="s">
        <v>66</v>
      </c>
      <c r="C93" s="9" t="s">
        <v>80</v>
      </c>
      <c r="D93" s="5" t="s">
        <v>68</v>
      </c>
      <c r="E93" s="17" t="s">
        <v>6</v>
      </c>
    </row>
    <row r="94" spans="1:5" ht="14.25" customHeight="1" x14ac:dyDescent="0.2">
      <c r="A94" s="19" t="s">
        <v>66</v>
      </c>
      <c r="B94" s="19" t="s">
        <v>66</v>
      </c>
      <c r="C94" s="9" t="s">
        <v>81</v>
      </c>
      <c r="D94" s="5" t="s">
        <v>68</v>
      </c>
      <c r="E94" s="17" t="s">
        <v>6</v>
      </c>
    </row>
    <row r="95" spans="1:5" ht="14.25" customHeight="1" x14ac:dyDescent="0.2">
      <c r="A95" s="19" t="s">
        <v>66</v>
      </c>
      <c r="B95" s="19" t="s">
        <v>66</v>
      </c>
      <c r="C95" s="9" t="s">
        <v>82</v>
      </c>
      <c r="D95" s="5" t="s">
        <v>68</v>
      </c>
      <c r="E95" s="17" t="s">
        <v>6</v>
      </c>
    </row>
    <row r="96" spans="1:5" ht="14.25" customHeight="1" x14ac:dyDescent="0.2">
      <c r="A96" s="19" t="s">
        <v>66</v>
      </c>
      <c r="B96" s="19" t="s">
        <v>66</v>
      </c>
      <c r="C96" s="9" t="s">
        <v>83</v>
      </c>
      <c r="D96" s="5" t="s">
        <v>68</v>
      </c>
      <c r="E96" s="17" t="s">
        <v>6</v>
      </c>
    </row>
    <row r="97" spans="1:15" ht="14.25" customHeight="1" x14ac:dyDescent="0.2">
      <c r="A97" s="19" t="s">
        <v>66</v>
      </c>
      <c r="B97" s="19" t="s">
        <v>66</v>
      </c>
      <c r="C97" s="9" t="s">
        <v>84</v>
      </c>
      <c r="D97" s="5" t="s">
        <v>68</v>
      </c>
      <c r="E97" s="17" t="s">
        <v>6</v>
      </c>
    </row>
    <row r="98" spans="1:15" ht="14.25" customHeight="1" x14ac:dyDescent="0.2">
      <c r="A98" s="19" t="s">
        <v>66</v>
      </c>
      <c r="B98" s="19" t="s">
        <v>66</v>
      </c>
      <c r="C98" s="9" t="s">
        <v>85</v>
      </c>
      <c r="D98" s="5" t="s">
        <v>68</v>
      </c>
      <c r="E98" s="17" t="s">
        <v>6</v>
      </c>
    </row>
    <row r="99" spans="1:15" ht="14.25" customHeight="1" x14ac:dyDescent="0.2">
      <c r="A99" s="19" t="s">
        <v>86</v>
      </c>
      <c r="B99" s="19" t="s">
        <v>86</v>
      </c>
      <c r="C99" s="10" t="s">
        <v>87</v>
      </c>
      <c r="D99" s="5" t="s">
        <v>68</v>
      </c>
      <c r="E99" s="17" t="s">
        <v>6</v>
      </c>
    </row>
    <row r="100" spans="1:15" ht="14.25" customHeight="1" x14ac:dyDescent="0.2">
      <c r="A100" s="19" t="s">
        <v>86</v>
      </c>
      <c r="B100" s="19" t="s">
        <v>86</v>
      </c>
      <c r="C100" s="10" t="s">
        <v>88</v>
      </c>
      <c r="D100" s="5" t="s">
        <v>68</v>
      </c>
      <c r="E100" s="17" t="s">
        <v>6</v>
      </c>
    </row>
    <row r="101" spans="1:15" ht="14.25" customHeight="1" x14ac:dyDescent="0.2">
      <c r="A101" s="19" t="s">
        <v>89</v>
      </c>
      <c r="B101" s="19" t="s">
        <v>89</v>
      </c>
      <c r="C101" s="11" t="s">
        <v>90</v>
      </c>
      <c r="D101" s="5" t="s">
        <v>91</v>
      </c>
      <c r="E101" s="17" t="s">
        <v>6</v>
      </c>
    </row>
    <row r="102" spans="1:15" ht="14.25" customHeight="1" x14ac:dyDescent="0.2">
      <c r="A102" s="19" t="s">
        <v>89</v>
      </c>
      <c r="B102" s="19" t="s">
        <v>89</v>
      </c>
      <c r="C102" s="11" t="s">
        <v>92</v>
      </c>
      <c r="D102" s="5" t="s">
        <v>91</v>
      </c>
      <c r="E102" s="17" t="s">
        <v>6</v>
      </c>
    </row>
    <row r="103" spans="1:15" ht="14.25" customHeight="1" x14ac:dyDescent="0.2">
      <c r="A103" s="19" t="s">
        <v>89</v>
      </c>
      <c r="B103" s="19" t="s">
        <v>89</v>
      </c>
      <c r="C103" s="11" t="s">
        <v>93</v>
      </c>
      <c r="D103" s="5" t="s">
        <v>91</v>
      </c>
      <c r="E103" s="17" t="s">
        <v>6</v>
      </c>
    </row>
    <row r="104" spans="1:15" ht="14.25" customHeight="1" x14ac:dyDescent="0.2">
      <c r="A104" s="19" t="s">
        <v>89</v>
      </c>
      <c r="B104" s="19" t="s">
        <v>89</v>
      </c>
      <c r="C104" s="11" t="s">
        <v>94</v>
      </c>
      <c r="D104" s="5" t="s">
        <v>91</v>
      </c>
      <c r="E104" s="17" t="s">
        <v>6</v>
      </c>
      <c r="O104" s="12"/>
    </row>
    <row r="105" spans="1:15" ht="14.25" customHeight="1" x14ac:dyDescent="0.2">
      <c r="A105" s="19" t="s">
        <v>89</v>
      </c>
      <c r="B105" s="19" t="s">
        <v>89</v>
      </c>
      <c r="C105" s="11" t="s">
        <v>95</v>
      </c>
      <c r="D105" s="5" t="s">
        <v>91</v>
      </c>
      <c r="E105" s="17" t="s">
        <v>6</v>
      </c>
      <c r="O105" s="13"/>
    </row>
    <row r="106" spans="1:15" ht="14.25" customHeight="1" x14ac:dyDescent="0.2">
      <c r="A106" s="19" t="s">
        <v>89</v>
      </c>
      <c r="B106" s="19" t="s">
        <v>89</v>
      </c>
      <c r="C106" s="11" t="s">
        <v>96</v>
      </c>
      <c r="D106" s="5" t="s">
        <v>91</v>
      </c>
      <c r="E106" s="17" t="s">
        <v>6</v>
      </c>
      <c r="O106" s="13"/>
    </row>
    <row r="107" spans="1:15" ht="14.25" customHeight="1" x14ac:dyDescent="0.2">
      <c r="A107" s="19" t="s">
        <v>89</v>
      </c>
      <c r="B107" s="19" t="s">
        <v>89</v>
      </c>
      <c r="C107" s="11" t="s">
        <v>97</v>
      </c>
      <c r="D107" s="5" t="s">
        <v>91</v>
      </c>
      <c r="E107" s="17" t="s">
        <v>6</v>
      </c>
    </row>
    <row r="108" spans="1:15" ht="14.25" customHeight="1" x14ac:dyDescent="0.2">
      <c r="A108" s="19" t="s">
        <v>89</v>
      </c>
      <c r="B108" s="19" t="s">
        <v>89</v>
      </c>
      <c r="C108" s="11" t="s">
        <v>98</v>
      </c>
      <c r="D108" s="5" t="s">
        <v>91</v>
      </c>
      <c r="E108" s="17" t="s">
        <v>6</v>
      </c>
    </row>
    <row r="109" spans="1:15" ht="14.25" customHeight="1" x14ac:dyDescent="0.2">
      <c r="A109" s="19" t="s">
        <v>89</v>
      </c>
      <c r="B109" s="19" t="s">
        <v>89</v>
      </c>
      <c r="C109" s="11" t="s">
        <v>99</v>
      </c>
      <c r="D109" s="5" t="s">
        <v>91</v>
      </c>
      <c r="E109" s="17" t="s">
        <v>6</v>
      </c>
    </row>
    <row r="110" spans="1:15" ht="14.25" customHeight="1" x14ac:dyDescent="0.2">
      <c r="A110" s="19" t="s">
        <v>89</v>
      </c>
      <c r="B110" s="19" t="s">
        <v>89</v>
      </c>
      <c r="C110" s="11" t="s">
        <v>100</v>
      </c>
      <c r="D110" s="5" t="s">
        <v>91</v>
      </c>
      <c r="E110" s="17" t="s">
        <v>6</v>
      </c>
    </row>
    <row r="111" spans="1:15" ht="14.25" customHeight="1" x14ac:dyDescent="0.2">
      <c r="A111" s="19" t="s">
        <v>89</v>
      </c>
      <c r="B111" s="19" t="s">
        <v>89</v>
      </c>
      <c r="C111" s="11" t="s">
        <v>101</v>
      </c>
      <c r="D111" s="5" t="s">
        <v>91</v>
      </c>
      <c r="E111" s="17" t="s">
        <v>6</v>
      </c>
    </row>
    <row r="112" spans="1:15" ht="14.25" customHeight="1" x14ac:dyDescent="0.2">
      <c r="A112" s="19" t="s">
        <v>89</v>
      </c>
      <c r="B112" s="19" t="s">
        <v>89</v>
      </c>
      <c r="C112" s="11" t="s">
        <v>102</v>
      </c>
      <c r="D112" s="5" t="s">
        <v>91</v>
      </c>
      <c r="E112" s="17" t="s">
        <v>6</v>
      </c>
    </row>
    <row r="113" spans="1:5" ht="14.25" customHeight="1" x14ac:dyDescent="0.2">
      <c r="A113" s="19" t="s">
        <v>89</v>
      </c>
      <c r="B113" s="19" t="s">
        <v>89</v>
      </c>
      <c r="C113" s="11" t="s">
        <v>103</v>
      </c>
      <c r="D113" s="5" t="s">
        <v>91</v>
      </c>
      <c r="E113" s="17" t="s">
        <v>6</v>
      </c>
    </row>
    <row r="114" spans="1:5" ht="14.25" customHeight="1" x14ac:dyDescent="0.2">
      <c r="A114" s="19" t="s">
        <v>89</v>
      </c>
      <c r="B114" s="19" t="s">
        <v>89</v>
      </c>
      <c r="C114" s="11" t="s">
        <v>104</v>
      </c>
      <c r="D114" s="5" t="s">
        <v>91</v>
      </c>
      <c r="E114" s="17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0"/>
  <sheetViews>
    <sheetView topLeftCell="A77" workbookViewId="0">
      <selection activeCell="C97" sqref="C97"/>
    </sheetView>
  </sheetViews>
  <sheetFormatPr defaultRowHeight="15" x14ac:dyDescent="0.25"/>
  <cols>
    <col min="2" max="2" width="51.7109375" bestFit="1" customWidth="1"/>
    <col min="3" max="3" width="53.140625" bestFit="1" customWidth="1"/>
    <col min="4" max="4" width="44.85546875" bestFit="1" customWidth="1"/>
  </cols>
  <sheetData>
    <row r="1" spans="2:4" x14ac:dyDescent="0.25">
      <c r="B1" t="s">
        <v>105</v>
      </c>
      <c r="C1" t="s">
        <v>106</v>
      </c>
      <c r="D1" t="s">
        <v>107</v>
      </c>
    </row>
    <row r="2" spans="2:4" x14ac:dyDescent="0.25">
      <c r="B2" t="s">
        <v>4</v>
      </c>
      <c r="C2" t="s">
        <v>4</v>
      </c>
      <c r="D2" s="21" t="str">
        <f>VLOOKUP(C2,$B$2:$B$24,1,FALSE)</f>
        <v>Renda Fixa</v>
      </c>
    </row>
    <row r="3" spans="2:4" x14ac:dyDescent="0.25">
      <c r="B3" t="s">
        <v>7</v>
      </c>
      <c r="C3" t="s">
        <v>7</v>
      </c>
      <c r="D3" s="21" t="str">
        <f t="shared" ref="D3:D24" si="0">VLOOKUP(C3,$B$2:$B$24,1,FALSE)</f>
        <v>Renda Fixa Crédito</v>
      </c>
    </row>
    <row r="4" spans="2:4" x14ac:dyDescent="0.25">
      <c r="B4" t="s">
        <v>8</v>
      </c>
      <c r="C4" t="s">
        <v>8</v>
      </c>
      <c r="D4" s="21" t="str">
        <f t="shared" si="0"/>
        <v>Renda Fixa Crédito Livre</v>
      </c>
    </row>
    <row r="5" spans="2:4" x14ac:dyDescent="0.25">
      <c r="B5" t="s">
        <v>9</v>
      </c>
      <c r="C5" t="s">
        <v>9</v>
      </c>
      <c r="D5" s="21" t="str">
        <f t="shared" si="0"/>
        <v>Renda Fixa Dívida Externa</v>
      </c>
    </row>
    <row r="6" spans="2:4" x14ac:dyDescent="0.25">
      <c r="B6" t="s">
        <v>10</v>
      </c>
      <c r="C6" t="s">
        <v>10</v>
      </c>
      <c r="D6" s="21" t="str">
        <f t="shared" si="0"/>
        <v>Renda Fixa Duração Alta Crédito Livre</v>
      </c>
    </row>
    <row r="7" spans="2:4" x14ac:dyDescent="0.25">
      <c r="B7" t="s">
        <v>11</v>
      </c>
      <c r="C7" t="s">
        <v>11</v>
      </c>
      <c r="D7" s="21" t="str">
        <f t="shared" si="0"/>
        <v>Renda Fixa Duração Alta Grau de Investimento</v>
      </c>
    </row>
    <row r="8" spans="2:4" x14ac:dyDescent="0.25">
      <c r="B8" t="s">
        <v>12</v>
      </c>
      <c r="C8" t="s">
        <v>12</v>
      </c>
      <c r="D8" s="21" t="str">
        <f t="shared" si="0"/>
        <v>Renda Fixa Duração Alta Soberano</v>
      </c>
    </row>
    <row r="9" spans="2:4" x14ac:dyDescent="0.25">
      <c r="B9" t="s">
        <v>13</v>
      </c>
      <c r="C9" t="s">
        <v>13</v>
      </c>
      <c r="D9" s="21" t="str">
        <f t="shared" si="0"/>
        <v>Renda Fixa Duração Baixa Crédito Livre</v>
      </c>
    </row>
    <row r="10" spans="2:4" x14ac:dyDescent="0.25">
      <c r="B10" t="s">
        <v>14</v>
      </c>
      <c r="C10" t="s">
        <v>14</v>
      </c>
      <c r="D10" s="21" t="str">
        <f t="shared" si="0"/>
        <v>Renda Fixa Duração Baixa Grau de Investimento</v>
      </c>
    </row>
    <row r="11" spans="2:4" x14ac:dyDescent="0.25">
      <c r="B11" t="s">
        <v>15</v>
      </c>
      <c r="C11" t="s">
        <v>15</v>
      </c>
      <c r="D11" s="21" t="str">
        <f t="shared" si="0"/>
        <v>Renda Fixa Duração Baixa Soberano</v>
      </c>
    </row>
    <row r="12" spans="2:4" x14ac:dyDescent="0.25">
      <c r="B12" t="s">
        <v>16</v>
      </c>
      <c r="C12" t="s">
        <v>16</v>
      </c>
      <c r="D12" s="21" t="str">
        <f t="shared" si="0"/>
        <v>Renda Fixa Duração Livre Crédito Livre</v>
      </c>
    </row>
    <row r="13" spans="2:4" x14ac:dyDescent="0.25">
      <c r="B13" t="s">
        <v>17</v>
      </c>
      <c r="C13" t="s">
        <v>17</v>
      </c>
      <c r="D13" s="21" t="str">
        <f t="shared" si="0"/>
        <v>Renda Fixa Duração Livre Grau de Investimento</v>
      </c>
    </row>
    <row r="14" spans="2:4" x14ac:dyDescent="0.25">
      <c r="B14" t="s">
        <v>18</v>
      </c>
      <c r="C14" t="s">
        <v>18</v>
      </c>
      <c r="D14" s="21" t="str">
        <f t="shared" si="0"/>
        <v>Renda Fixa Duração Livre Soberano</v>
      </c>
    </row>
    <row r="15" spans="2:4" x14ac:dyDescent="0.25">
      <c r="B15" t="s">
        <v>19</v>
      </c>
      <c r="C15" t="s">
        <v>19</v>
      </c>
      <c r="D15" s="21" t="str">
        <f t="shared" si="0"/>
        <v>Renda Fixa Duração Média Crédito Livre</v>
      </c>
    </row>
    <row r="16" spans="2:4" x14ac:dyDescent="0.25">
      <c r="B16" t="s">
        <v>20</v>
      </c>
      <c r="C16" t="s">
        <v>20</v>
      </c>
      <c r="D16" s="21" t="str">
        <f t="shared" si="0"/>
        <v>Renda Fixa Duração Média Grau de Investimento</v>
      </c>
    </row>
    <row r="17" spans="2:4" x14ac:dyDescent="0.25">
      <c r="B17" t="s">
        <v>21</v>
      </c>
      <c r="C17" t="s">
        <v>21</v>
      </c>
      <c r="D17" s="21" t="str">
        <f t="shared" si="0"/>
        <v>Renda Fixa Duração Média Soberano</v>
      </c>
    </row>
    <row r="18" spans="2:4" x14ac:dyDescent="0.25">
      <c r="B18" t="s">
        <v>22</v>
      </c>
      <c r="C18" t="s">
        <v>22</v>
      </c>
      <c r="D18" s="21" t="str">
        <f t="shared" si="0"/>
        <v>Renda Fixa Indexados</v>
      </c>
    </row>
    <row r="19" spans="2:4" x14ac:dyDescent="0.25">
      <c r="B19" t="s">
        <v>23</v>
      </c>
      <c r="C19" t="s">
        <v>23</v>
      </c>
      <c r="D19" s="21" t="str">
        <f t="shared" si="0"/>
        <v>Renda Fixa Índices</v>
      </c>
    </row>
    <row r="20" spans="2:4" x14ac:dyDescent="0.25">
      <c r="B20" t="s">
        <v>24</v>
      </c>
      <c r="C20" t="s">
        <v>24</v>
      </c>
      <c r="D20" s="21" t="str">
        <f t="shared" si="0"/>
        <v>Renda Fixa Investimento no Exterior</v>
      </c>
    </row>
    <row r="21" spans="2:4" x14ac:dyDescent="0.25">
      <c r="B21" t="s">
        <v>25</v>
      </c>
      <c r="C21" t="s">
        <v>25</v>
      </c>
      <c r="D21" s="21" t="str">
        <f t="shared" si="0"/>
        <v>Renda Fixa Médio e Alto Risco</v>
      </c>
    </row>
    <row r="22" spans="2:4" x14ac:dyDescent="0.25">
      <c r="B22" t="s">
        <v>26</v>
      </c>
      <c r="C22" t="s">
        <v>26</v>
      </c>
      <c r="D22" s="21" t="str">
        <f t="shared" si="0"/>
        <v>Renda Fixa Multi Índices</v>
      </c>
    </row>
    <row r="23" spans="2:4" x14ac:dyDescent="0.25">
      <c r="B23" t="s">
        <v>27</v>
      </c>
      <c r="C23" t="s">
        <v>27</v>
      </c>
      <c r="D23" s="21" t="str">
        <f t="shared" si="0"/>
        <v>Renda Fixa Simples</v>
      </c>
    </row>
    <row r="24" spans="2:4" x14ac:dyDescent="0.25">
      <c r="B24" t="s">
        <v>28</v>
      </c>
      <c r="C24" t="s">
        <v>28</v>
      </c>
      <c r="D24" s="21" t="str">
        <f t="shared" si="0"/>
        <v>Curto Prazo</v>
      </c>
    </row>
    <row r="25" spans="2:4" x14ac:dyDescent="0.25">
      <c r="B25" s="22" t="s">
        <v>4</v>
      </c>
      <c r="C25" t="s">
        <v>4</v>
      </c>
      <c r="D25" s="21" t="str">
        <f>VLOOKUP(C25,$B$25:$B$49,1,FALSE)</f>
        <v>Renda Fixa</v>
      </c>
    </row>
    <row r="26" spans="2:4" x14ac:dyDescent="0.25">
      <c r="B26" t="s">
        <v>7</v>
      </c>
      <c r="C26" t="s">
        <v>7</v>
      </c>
      <c r="D26" s="21" t="str">
        <f t="shared" ref="D26:D49" si="1">VLOOKUP(C26,$B$25:$B$49,1,FALSE)</f>
        <v>Renda Fixa Crédito</v>
      </c>
    </row>
    <row r="27" spans="2:4" x14ac:dyDescent="0.25">
      <c r="B27" t="s">
        <v>8</v>
      </c>
      <c r="C27" t="s">
        <v>8</v>
      </c>
      <c r="D27" s="21" t="str">
        <f t="shared" si="1"/>
        <v>Renda Fixa Crédito Livre</v>
      </c>
    </row>
    <row r="28" spans="2:4" x14ac:dyDescent="0.25">
      <c r="B28" t="s">
        <v>9</v>
      </c>
      <c r="C28" t="s">
        <v>9</v>
      </c>
      <c r="D28" s="21" t="str">
        <f t="shared" si="1"/>
        <v>Renda Fixa Dívida Externa</v>
      </c>
    </row>
    <row r="29" spans="2:4" x14ac:dyDescent="0.25">
      <c r="B29" t="s">
        <v>10</v>
      </c>
      <c r="C29" t="s">
        <v>10</v>
      </c>
      <c r="D29" s="21" t="str">
        <f t="shared" si="1"/>
        <v>Renda Fixa Duração Alta Crédito Livre</v>
      </c>
    </row>
    <row r="30" spans="2:4" x14ac:dyDescent="0.25">
      <c r="B30" t="s">
        <v>11</v>
      </c>
      <c r="C30" t="s">
        <v>11</v>
      </c>
      <c r="D30" s="21" t="str">
        <f t="shared" si="1"/>
        <v>Renda Fixa Duração Alta Grau de Investimento</v>
      </c>
    </row>
    <row r="31" spans="2:4" x14ac:dyDescent="0.25">
      <c r="B31" t="s">
        <v>12</v>
      </c>
      <c r="C31" t="s">
        <v>12</v>
      </c>
      <c r="D31" s="21" t="str">
        <f t="shared" si="1"/>
        <v>Renda Fixa Duração Alta Soberano</v>
      </c>
    </row>
    <row r="32" spans="2:4" x14ac:dyDescent="0.25">
      <c r="B32" t="s">
        <v>13</v>
      </c>
      <c r="C32" t="s">
        <v>13</v>
      </c>
      <c r="D32" s="21" t="str">
        <f t="shared" si="1"/>
        <v>Renda Fixa Duração Baixa Crédito Livre</v>
      </c>
    </row>
    <row r="33" spans="2:4" x14ac:dyDescent="0.25">
      <c r="B33" t="s">
        <v>14</v>
      </c>
      <c r="C33" t="s">
        <v>14</v>
      </c>
      <c r="D33" s="21" t="str">
        <f t="shared" si="1"/>
        <v>Renda Fixa Duração Baixa Grau de Investimento</v>
      </c>
    </row>
    <row r="34" spans="2:4" x14ac:dyDescent="0.25">
      <c r="B34" t="s">
        <v>15</v>
      </c>
      <c r="C34" t="s">
        <v>15</v>
      </c>
      <c r="D34" s="21" t="str">
        <f t="shared" si="1"/>
        <v>Renda Fixa Duração Baixa Soberano</v>
      </c>
    </row>
    <row r="35" spans="2:4" x14ac:dyDescent="0.25">
      <c r="B35" t="s">
        <v>16</v>
      </c>
      <c r="C35" t="s">
        <v>16</v>
      </c>
      <c r="D35" s="21" t="str">
        <f t="shared" si="1"/>
        <v>Renda Fixa Duração Livre Crédito Livre</v>
      </c>
    </row>
    <row r="36" spans="2:4" x14ac:dyDescent="0.25">
      <c r="B36" t="s">
        <v>17</v>
      </c>
      <c r="C36" t="s">
        <v>17</v>
      </c>
      <c r="D36" s="21" t="str">
        <f t="shared" si="1"/>
        <v>Renda Fixa Duração Livre Grau de Investimento</v>
      </c>
    </row>
    <row r="37" spans="2:4" x14ac:dyDescent="0.25">
      <c r="B37" t="s">
        <v>18</v>
      </c>
      <c r="C37" t="s">
        <v>18</v>
      </c>
      <c r="D37" s="21" t="str">
        <f t="shared" si="1"/>
        <v>Renda Fixa Duração Livre Soberano</v>
      </c>
    </row>
    <row r="38" spans="2:4" x14ac:dyDescent="0.25">
      <c r="B38" t="s">
        <v>19</v>
      </c>
      <c r="C38" t="s">
        <v>19</v>
      </c>
      <c r="D38" s="21" t="str">
        <f t="shared" si="1"/>
        <v>Renda Fixa Duração Média Crédito Livre</v>
      </c>
    </row>
    <row r="39" spans="2:4" x14ac:dyDescent="0.25">
      <c r="B39" t="s">
        <v>20</v>
      </c>
      <c r="C39" t="s">
        <v>20</v>
      </c>
      <c r="D39" s="21" t="str">
        <f t="shared" si="1"/>
        <v>Renda Fixa Duração Média Grau de Investimento</v>
      </c>
    </row>
    <row r="40" spans="2:4" x14ac:dyDescent="0.25">
      <c r="B40" t="s">
        <v>21</v>
      </c>
      <c r="C40" t="s">
        <v>21</v>
      </c>
      <c r="D40" s="21" t="str">
        <f t="shared" si="1"/>
        <v>Renda Fixa Duração Média Soberano</v>
      </c>
    </row>
    <row r="41" spans="2:4" x14ac:dyDescent="0.25">
      <c r="B41" t="s">
        <v>22</v>
      </c>
      <c r="C41" t="s">
        <v>22</v>
      </c>
      <c r="D41" s="21" t="str">
        <f t="shared" si="1"/>
        <v>Renda Fixa Indexados</v>
      </c>
    </row>
    <row r="42" spans="2:4" x14ac:dyDescent="0.25">
      <c r="B42" t="s">
        <v>23</v>
      </c>
      <c r="C42" t="s">
        <v>23</v>
      </c>
      <c r="D42" s="21" t="str">
        <f t="shared" si="1"/>
        <v>Renda Fixa Índices</v>
      </c>
    </row>
    <row r="43" spans="2:4" x14ac:dyDescent="0.25">
      <c r="B43" t="s">
        <v>24</v>
      </c>
      <c r="C43" t="s">
        <v>24</v>
      </c>
      <c r="D43" s="21" t="str">
        <f t="shared" si="1"/>
        <v>Renda Fixa Investimento no Exterior</v>
      </c>
    </row>
    <row r="44" spans="2:4" x14ac:dyDescent="0.25">
      <c r="B44" t="s">
        <v>25</v>
      </c>
      <c r="C44" t="s">
        <v>25</v>
      </c>
      <c r="D44" s="21" t="str">
        <f t="shared" si="1"/>
        <v>Renda Fixa Médio e Alto Risco</v>
      </c>
    </row>
    <row r="45" spans="2:4" x14ac:dyDescent="0.25">
      <c r="B45" t="s">
        <v>26</v>
      </c>
      <c r="C45" t="s">
        <v>26</v>
      </c>
      <c r="D45" s="21" t="str">
        <f t="shared" si="1"/>
        <v>Renda Fixa Multi Índices</v>
      </c>
    </row>
    <row r="46" spans="2:4" x14ac:dyDescent="0.25">
      <c r="B46" t="s">
        <v>27</v>
      </c>
      <c r="C46" t="s">
        <v>27</v>
      </c>
      <c r="D46" s="21" t="str">
        <f t="shared" si="1"/>
        <v>Renda Fixa Simples</v>
      </c>
    </row>
    <row r="47" spans="2:4" x14ac:dyDescent="0.25">
      <c r="B47" t="s">
        <v>28</v>
      </c>
      <c r="C47" t="s">
        <v>28</v>
      </c>
      <c r="D47" s="21" t="str">
        <f t="shared" si="1"/>
        <v>Curto Prazo</v>
      </c>
    </row>
    <row r="48" spans="2:4" x14ac:dyDescent="0.25">
      <c r="B48" t="s">
        <v>30</v>
      </c>
      <c r="C48" t="s">
        <v>30</v>
      </c>
      <c r="D48" s="21" t="str">
        <f t="shared" si="1"/>
        <v>Referenciado DI</v>
      </c>
    </row>
    <row r="49" spans="2:4" x14ac:dyDescent="0.25">
      <c r="B49" t="s">
        <v>31</v>
      </c>
      <c r="C49" t="s">
        <v>31</v>
      </c>
      <c r="D49" s="21" t="str">
        <f t="shared" si="1"/>
        <v>Referenciado Outros</v>
      </c>
    </row>
    <row r="50" spans="2:4" x14ac:dyDescent="0.25">
      <c r="B50" t="s">
        <v>33</v>
      </c>
      <c r="C50" t="s">
        <v>33</v>
      </c>
      <c r="D50" s="21" t="str">
        <f>VLOOKUP(C50,B50:$B$52,1,FALSE)</f>
        <v>Long and Short Direcional</v>
      </c>
    </row>
    <row r="51" spans="2:4" x14ac:dyDescent="0.25">
      <c r="B51" t="s">
        <v>34</v>
      </c>
      <c r="C51" t="s">
        <v>34</v>
      </c>
      <c r="D51" s="21" t="str">
        <f>VLOOKUP(C51,B51:$B$52,1,FALSE)</f>
        <v>Long and Short Neutro</v>
      </c>
    </row>
    <row r="52" spans="2:4" x14ac:dyDescent="0.25">
      <c r="B52" t="s">
        <v>35</v>
      </c>
      <c r="C52" t="s">
        <v>35</v>
      </c>
      <c r="D52" s="21" t="str">
        <f>VLOOKUP(C52,B52:$B$52,1,FALSE)</f>
        <v>Long and Short Renda Variável</v>
      </c>
    </row>
    <row r="53" spans="2:4" x14ac:dyDescent="0.25">
      <c r="B53" s="22" t="s">
        <v>37</v>
      </c>
      <c r="C53" t="s">
        <v>37</v>
      </c>
      <c r="D53" s="21" t="str">
        <f>VLOOKUP(C53,$B$53:$B$75,1,FALSE)</f>
        <v>Balanceados</v>
      </c>
    </row>
    <row r="54" spans="2:4" x14ac:dyDescent="0.25">
      <c r="B54" t="s">
        <v>56</v>
      </c>
      <c r="C54" t="s">
        <v>56</v>
      </c>
      <c r="D54" s="21" t="str">
        <f t="shared" ref="D54:D75" si="2">VLOOKUP(C54,$B$53:$B$75,1,FALSE)</f>
        <v>Cambial</v>
      </c>
    </row>
    <row r="55" spans="2:4" x14ac:dyDescent="0.25">
      <c r="B55" t="s">
        <v>57</v>
      </c>
      <c r="C55" t="s">
        <v>57</v>
      </c>
      <c r="D55" s="21" t="str">
        <f t="shared" si="2"/>
        <v>Cambial Dólar sem alavancagem</v>
      </c>
    </row>
    <row r="56" spans="2:4" x14ac:dyDescent="0.25">
      <c r="B56" t="s">
        <v>58</v>
      </c>
      <c r="C56" t="s">
        <v>58</v>
      </c>
      <c r="D56" s="21" t="str">
        <f t="shared" si="2"/>
        <v>Cambial Euro sem Alavancagem</v>
      </c>
    </row>
    <row r="57" spans="2:4" x14ac:dyDescent="0.25">
      <c r="B57" t="s">
        <v>38</v>
      </c>
      <c r="C57" t="s">
        <v>38</v>
      </c>
      <c r="D57" s="21" t="str">
        <f t="shared" si="2"/>
        <v>Capital Protegido</v>
      </c>
    </row>
    <row r="58" spans="2:4" x14ac:dyDescent="0.25">
      <c r="B58" t="s">
        <v>39</v>
      </c>
      <c r="C58" t="s">
        <v>39</v>
      </c>
      <c r="D58" s="21" t="str">
        <f t="shared" si="2"/>
        <v>Multimercados Balanceados</v>
      </c>
    </row>
    <row r="59" spans="2:4" x14ac:dyDescent="0.25">
      <c r="B59" t="s">
        <v>40</v>
      </c>
      <c r="C59" t="s">
        <v>40</v>
      </c>
      <c r="D59" s="21" t="str">
        <f t="shared" si="2"/>
        <v>Multimercados Capital Protegido</v>
      </c>
    </row>
    <row r="60" spans="2:4" x14ac:dyDescent="0.25">
      <c r="B60" t="s">
        <v>41</v>
      </c>
      <c r="C60" t="s">
        <v>41</v>
      </c>
      <c r="D60" s="21" t="str">
        <f t="shared" si="2"/>
        <v>Multimercados com RV</v>
      </c>
    </row>
    <row r="61" spans="2:4" x14ac:dyDescent="0.25">
      <c r="B61" t="s">
        <v>42</v>
      </c>
      <c r="C61" t="s">
        <v>42</v>
      </c>
      <c r="D61" s="21" t="str">
        <f t="shared" si="2"/>
        <v>Multimercados com RV com Alavancagem</v>
      </c>
    </row>
    <row r="62" spans="2:4" x14ac:dyDescent="0.25">
      <c r="B62" t="s">
        <v>43</v>
      </c>
      <c r="C62" t="s">
        <v>43</v>
      </c>
      <c r="D62" s="21" t="str">
        <f t="shared" si="2"/>
        <v>Multimercados Dinâmico</v>
      </c>
    </row>
    <row r="63" spans="2:4" x14ac:dyDescent="0.25">
      <c r="B63" t="s">
        <v>44</v>
      </c>
      <c r="C63" t="s">
        <v>44</v>
      </c>
      <c r="D63" s="21" t="str">
        <f t="shared" si="2"/>
        <v>Multimercados Estratégia Específica</v>
      </c>
    </row>
    <row r="64" spans="2:4" x14ac:dyDescent="0.25">
      <c r="B64" t="s">
        <v>59</v>
      </c>
      <c r="C64" t="s">
        <v>59</v>
      </c>
      <c r="D64" s="21" t="str">
        <f t="shared" si="2"/>
        <v>Multimercados Investimento no Exterior</v>
      </c>
    </row>
    <row r="65" spans="2:4" x14ac:dyDescent="0.25">
      <c r="B65" t="s">
        <v>45</v>
      </c>
      <c r="C65" t="s">
        <v>45</v>
      </c>
      <c r="D65" s="21" t="str">
        <f t="shared" si="2"/>
        <v>Multimercados Juros e Moedas</v>
      </c>
    </row>
    <row r="66" spans="2:4" x14ac:dyDescent="0.25">
      <c r="B66" t="s">
        <v>46</v>
      </c>
      <c r="C66" t="s">
        <v>46</v>
      </c>
      <c r="D66" s="21" t="str">
        <f t="shared" si="2"/>
        <v>Multimercados Livre</v>
      </c>
    </row>
    <row r="67" spans="2:4" x14ac:dyDescent="0.25">
      <c r="B67" t="s">
        <v>47</v>
      </c>
      <c r="C67" t="s">
        <v>47</v>
      </c>
      <c r="D67" s="21" t="str">
        <f t="shared" si="2"/>
        <v>Multimercados Long and Short Direcional</v>
      </c>
    </row>
    <row r="68" spans="2:4" x14ac:dyDescent="0.25">
      <c r="B68" t="s">
        <v>48</v>
      </c>
      <c r="C68" t="s">
        <v>48</v>
      </c>
      <c r="D68" s="21" t="str">
        <f t="shared" si="2"/>
        <v>Multimercados Long and Short Neutro</v>
      </c>
    </row>
    <row r="69" spans="2:4" x14ac:dyDescent="0.25">
      <c r="B69" t="s">
        <v>49</v>
      </c>
      <c r="C69" t="s">
        <v>49</v>
      </c>
      <c r="D69" s="21" t="str">
        <f t="shared" si="2"/>
        <v>Multimercados Macro</v>
      </c>
    </row>
    <row r="70" spans="2:4" x14ac:dyDescent="0.25">
      <c r="B70" t="s">
        <v>50</v>
      </c>
      <c r="C70" t="s">
        <v>50</v>
      </c>
      <c r="D70" s="21" t="str">
        <f t="shared" si="2"/>
        <v>Multimercados Multiestratégia</v>
      </c>
    </row>
    <row r="71" spans="2:4" x14ac:dyDescent="0.25">
      <c r="B71" t="s">
        <v>51</v>
      </c>
      <c r="C71" t="s">
        <v>51</v>
      </c>
      <c r="D71" s="21" t="str">
        <f t="shared" si="2"/>
        <v>Multimercados Multigestor</v>
      </c>
    </row>
    <row r="72" spans="2:4" x14ac:dyDescent="0.25">
      <c r="B72" t="s">
        <v>52</v>
      </c>
      <c r="C72" t="s">
        <v>52</v>
      </c>
      <c r="D72" s="21" t="str">
        <f t="shared" si="2"/>
        <v>Multimercados sem RV</v>
      </c>
    </row>
    <row r="73" spans="2:4" x14ac:dyDescent="0.25">
      <c r="B73" t="s">
        <v>53</v>
      </c>
      <c r="C73" t="s">
        <v>53</v>
      </c>
      <c r="D73" s="21" t="str">
        <f t="shared" si="2"/>
        <v>Multimercados sem RV com Alavancagem</v>
      </c>
    </row>
    <row r="74" spans="2:4" x14ac:dyDescent="0.25">
      <c r="B74" t="s">
        <v>54</v>
      </c>
      <c r="C74" t="s">
        <v>54</v>
      </c>
      <c r="D74" s="21" t="str">
        <f t="shared" si="2"/>
        <v>Multimercados Trading</v>
      </c>
    </row>
    <row r="75" spans="2:4" x14ac:dyDescent="0.25">
      <c r="B75" t="s">
        <v>55</v>
      </c>
      <c r="C75" t="s">
        <v>55</v>
      </c>
      <c r="D75" s="21" t="str">
        <f t="shared" si="2"/>
        <v>Referenciado Dólar</v>
      </c>
    </row>
    <row r="76" spans="2:4" x14ac:dyDescent="0.25">
      <c r="B76" s="22" t="s">
        <v>61</v>
      </c>
      <c r="C76" t="s">
        <v>61</v>
      </c>
      <c r="D76" s="21" t="str">
        <f>VLOOKUP(C76,$B$76:$B$80,1,FALSE)</f>
        <v>FIDC Agro Indústria e Comércio</v>
      </c>
    </row>
    <row r="77" spans="2:4" x14ac:dyDescent="0.25">
      <c r="B77" s="22" t="s">
        <v>62</v>
      </c>
      <c r="C77" t="s">
        <v>62</v>
      </c>
      <c r="D77" s="21" t="str">
        <f t="shared" ref="D77:D80" si="3">VLOOKUP(C77,$B$76:$B$80,1,FALSE)</f>
        <v>FIDC Financeiro</v>
      </c>
    </row>
    <row r="78" spans="2:4" x14ac:dyDescent="0.25">
      <c r="B78" s="22" t="s">
        <v>63</v>
      </c>
      <c r="C78" t="s">
        <v>63</v>
      </c>
      <c r="D78" s="21" t="str">
        <f t="shared" si="3"/>
        <v>FIDC Fomento Mercantil</v>
      </c>
    </row>
    <row r="79" spans="2:4" x14ac:dyDescent="0.25">
      <c r="B79" s="22" t="s">
        <v>64</v>
      </c>
      <c r="C79" t="s">
        <v>64</v>
      </c>
      <c r="D79" s="21" t="str">
        <f t="shared" si="3"/>
        <v>FIDC Outros</v>
      </c>
    </row>
    <row r="80" spans="2:4" x14ac:dyDescent="0.25">
      <c r="B80" s="22" t="s">
        <v>65</v>
      </c>
      <c r="C80" t="s">
        <v>65</v>
      </c>
      <c r="D80" s="21" t="str">
        <f t="shared" si="3"/>
        <v>Direitos Creditórios</v>
      </c>
    </row>
    <row r="81" spans="2:4" x14ac:dyDescent="0.25">
      <c r="B81" s="22" t="s">
        <v>67</v>
      </c>
      <c r="C81" t="s">
        <v>67</v>
      </c>
      <c r="D81" s="21" t="str">
        <f>VLOOKUP(C81,$B$81:$B$99,1,FALSE)</f>
        <v>Ações Dividendos</v>
      </c>
    </row>
    <row r="82" spans="2:4" x14ac:dyDescent="0.25">
      <c r="B82" t="s">
        <v>69</v>
      </c>
      <c r="C82" t="s">
        <v>69</v>
      </c>
      <c r="D82" s="21" t="str">
        <f t="shared" ref="D82:D99" si="4">VLOOKUP(C82,$B$81:$B$99,1,FALSE)</f>
        <v>Ações fechado</v>
      </c>
    </row>
    <row r="83" spans="2:4" x14ac:dyDescent="0.25">
      <c r="B83" t="s">
        <v>70</v>
      </c>
      <c r="C83" t="s">
        <v>70</v>
      </c>
      <c r="D83" s="21" t="str">
        <f t="shared" si="4"/>
        <v>Ações FMP - FGTS</v>
      </c>
    </row>
    <row r="84" spans="2:4" x14ac:dyDescent="0.25">
      <c r="B84" t="s">
        <v>71</v>
      </c>
      <c r="C84" t="s">
        <v>71</v>
      </c>
      <c r="D84" s="21" t="str">
        <f t="shared" si="4"/>
        <v>Ações Ibovespa ativo</v>
      </c>
    </row>
    <row r="85" spans="2:4" x14ac:dyDescent="0.25">
      <c r="B85" t="s">
        <v>72</v>
      </c>
      <c r="C85" t="s">
        <v>72</v>
      </c>
      <c r="D85" s="21" t="str">
        <f t="shared" si="4"/>
        <v>Ações Ibovespa ativo com alavancagem</v>
      </c>
    </row>
    <row r="86" spans="2:4" x14ac:dyDescent="0.25">
      <c r="B86" t="s">
        <v>73</v>
      </c>
      <c r="C86" t="s">
        <v>73</v>
      </c>
      <c r="D86" s="21" t="str">
        <f t="shared" si="4"/>
        <v>Ações Ibovespa indexado</v>
      </c>
    </row>
    <row r="87" spans="2:4" x14ac:dyDescent="0.25">
      <c r="B87" t="s">
        <v>74</v>
      </c>
      <c r="C87" t="s">
        <v>74</v>
      </c>
      <c r="D87" s="21" t="str">
        <f t="shared" si="4"/>
        <v>Ações IBrX Ativo</v>
      </c>
    </row>
    <row r="88" spans="2:4" x14ac:dyDescent="0.25">
      <c r="B88" t="s">
        <v>75</v>
      </c>
      <c r="C88" t="s">
        <v>75</v>
      </c>
      <c r="D88" s="21" t="str">
        <f t="shared" si="4"/>
        <v>Ações IBrX Indexado</v>
      </c>
    </row>
    <row r="89" spans="2:4" x14ac:dyDescent="0.25">
      <c r="B89" t="s">
        <v>76</v>
      </c>
      <c r="C89" t="s">
        <v>76</v>
      </c>
      <c r="D89" s="21" t="str">
        <f t="shared" si="4"/>
        <v>Ações IBX ativo</v>
      </c>
    </row>
    <row r="90" spans="2:4" x14ac:dyDescent="0.25">
      <c r="B90" t="s">
        <v>77</v>
      </c>
      <c r="C90" t="s">
        <v>77</v>
      </c>
      <c r="D90" s="21" t="str">
        <f t="shared" si="4"/>
        <v>Ações Indexados</v>
      </c>
    </row>
    <row r="91" spans="2:4" x14ac:dyDescent="0.25">
      <c r="B91" t="s">
        <v>78</v>
      </c>
      <c r="C91" t="s">
        <v>78</v>
      </c>
      <c r="D91" s="21" t="str">
        <f t="shared" si="4"/>
        <v>Ações Índice Ativo</v>
      </c>
    </row>
    <row r="92" spans="2:4" x14ac:dyDescent="0.25">
      <c r="B92" t="s">
        <v>79</v>
      </c>
      <c r="C92" t="s">
        <v>79</v>
      </c>
      <c r="D92" s="21" t="str">
        <f t="shared" si="4"/>
        <v>Ações Livre</v>
      </c>
    </row>
    <row r="93" spans="2:4" x14ac:dyDescent="0.25">
      <c r="B93" t="s">
        <v>80</v>
      </c>
      <c r="C93" t="s">
        <v>80</v>
      </c>
      <c r="D93" s="21" t="str">
        <f t="shared" si="4"/>
        <v>Ações outros</v>
      </c>
    </row>
    <row r="94" spans="2:4" x14ac:dyDescent="0.25">
      <c r="B94" t="s">
        <v>81</v>
      </c>
      <c r="C94" t="s">
        <v>81</v>
      </c>
      <c r="D94" s="21" t="str">
        <f t="shared" si="4"/>
        <v>Ações Setoriais</v>
      </c>
    </row>
    <row r="95" spans="2:4" x14ac:dyDescent="0.25">
      <c r="B95" t="s">
        <v>82</v>
      </c>
      <c r="C95" t="s">
        <v>82</v>
      </c>
      <c r="D95" s="21" t="str">
        <f t="shared" si="4"/>
        <v>Ações Setoriais Livre</v>
      </c>
    </row>
    <row r="96" spans="2:4" x14ac:dyDescent="0.25">
      <c r="B96" t="s">
        <v>83</v>
      </c>
      <c r="C96" t="s">
        <v>83</v>
      </c>
      <c r="D96" s="21" t="str">
        <f t="shared" si="4"/>
        <v>Ações Setoriais Privatização Petrobrás - Recursos Próprios</v>
      </c>
    </row>
    <row r="97" spans="2:4" x14ac:dyDescent="0.25">
      <c r="B97" t="s">
        <v>108</v>
      </c>
      <c r="C97" s="20" t="s">
        <v>108</v>
      </c>
      <c r="D97" s="21" t="str">
        <f t="shared" si="4"/>
        <v>Ações Small Caps</v>
      </c>
    </row>
    <row r="98" spans="2:4" x14ac:dyDescent="0.25">
      <c r="B98" t="s">
        <v>109</v>
      </c>
      <c r="C98" t="s">
        <v>85</v>
      </c>
      <c r="D98" s="21" t="str">
        <f t="shared" si="4"/>
        <v>Ações Valor/Crescimento</v>
      </c>
    </row>
    <row r="99" spans="2:4" x14ac:dyDescent="0.25">
      <c r="B99" t="s">
        <v>85</v>
      </c>
      <c r="C99" s="9" t="s">
        <v>85</v>
      </c>
      <c r="D99" s="21" t="str">
        <f t="shared" si="4"/>
        <v>Ações Valor/Crescimento</v>
      </c>
    </row>
    <row r="100" spans="2:4" x14ac:dyDescent="0.25">
      <c r="B100" s="22" t="s">
        <v>87</v>
      </c>
      <c r="C100" t="s">
        <v>87</v>
      </c>
      <c r="D100" s="21" t="str">
        <f>VLOOKUP(C100,$B$100:$B$101,1,FALSE)</f>
        <v>Investimento no Exterior</v>
      </c>
    </row>
    <row r="101" spans="2:4" x14ac:dyDescent="0.25">
      <c r="B101" s="22" t="s">
        <v>88</v>
      </c>
      <c r="C101" t="s">
        <v>88</v>
      </c>
      <c r="D101" s="21" t="str">
        <f>VLOOKUP(C101,$B$100:$B$101,1,FALSE)</f>
        <v>Ações Investimento no Exterior</v>
      </c>
    </row>
    <row r="102" spans="2:4" x14ac:dyDescent="0.25">
      <c r="B102" t="s">
        <v>90</v>
      </c>
      <c r="C102" t="s">
        <v>90</v>
      </c>
      <c r="D102" s="21" t="str">
        <f>VLOOKUP(C102,$B$102:$B$115,1,FALSE)</f>
        <v>FII Desenvolvimento para Renda Gestão Ativa</v>
      </c>
    </row>
    <row r="103" spans="2:4" x14ac:dyDescent="0.25">
      <c r="B103" s="22" t="s">
        <v>110</v>
      </c>
      <c r="C103" s="22" t="s">
        <v>92</v>
      </c>
      <c r="D103" s="23" t="e">
        <f>VLOOKUP(C103,$B$102:$B$115,1,FALSE)</f>
        <v>#N/A</v>
      </c>
    </row>
    <row r="104" spans="2:4" x14ac:dyDescent="0.25">
      <c r="B104" s="22" t="s">
        <v>93</v>
      </c>
      <c r="C104" t="s">
        <v>93</v>
      </c>
      <c r="D104" s="21" t="str">
        <f t="shared" ref="D104:D115" si="5">VLOOKUP(C104,$B$102:$B$115,1,FALSE)</f>
        <v>FII Desenvolvimento para Venda Gestão Ativa</v>
      </c>
    </row>
    <row r="105" spans="2:4" x14ac:dyDescent="0.25">
      <c r="B105" s="22" t="s">
        <v>94</v>
      </c>
      <c r="C105" t="s">
        <v>94</v>
      </c>
      <c r="D105" s="21" t="str">
        <f t="shared" si="5"/>
        <v>FII Desenvolvimento para Venda Gestão Passiva</v>
      </c>
    </row>
    <row r="106" spans="2:4" x14ac:dyDescent="0.25">
      <c r="B106" s="22" t="s">
        <v>95</v>
      </c>
      <c r="C106" t="s">
        <v>95</v>
      </c>
      <c r="D106" s="21" t="str">
        <f t="shared" si="5"/>
        <v>FII Híbrido Gestão Ativa</v>
      </c>
    </row>
    <row r="107" spans="2:4" x14ac:dyDescent="0.25">
      <c r="B107" s="22" t="s">
        <v>96</v>
      </c>
      <c r="C107" t="s">
        <v>96</v>
      </c>
      <c r="D107" s="21" t="str">
        <f t="shared" si="5"/>
        <v>FII Híbrido Gestão Passiva</v>
      </c>
    </row>
    <row r="108" spans="2:4" x14ac:dyDescent="0.25">
      <c r="B108" s="22" t="s">
        <v>97</v>
      </c>
      <c r="C108" t="s">
        <v>97</v>
      </c>
      <c r="D108" s="21" t="str">
        <f t="shared" si="5"/>
        <v>FII Multiestratégia Gestão Ativa</v>
      </c>
    </row>
    <row r="109" spans="2:4" x14ac:dyDescent="0.25">
      <c r="B109" s="22" t="s">
        <v>98</v>
      </c>
      <c r="C109" t="s">
        <v>98</v>
      </c>
      <c r="D109" s="21" t="str">
        <f t="shared" si="5"/>
        <v>FII Papel Híbrido Gestão Ativa</v>
      </c>
    </row>
    <row r="110" spans="2:4" x14ac:dyDescent="0.25">
      <c r="B110" s="22" t="s">
        <v>99</v>
      </c>
      <c r="C110" t="s">
        <v>99</v>
      </c>
      <c r="D110" s="21" t="str">
        <f t="shared" si="5"/>
        <v>FII Renda Gestão Ativa</v>
      </c>
    </row>
    <row r="111" spans="2:4" x14ac:dyDescent="0.25">
      <c r="B111" s="22" t="s">
        <v>100</v>
      </c>
      <c r="C111" t="s">
        <v>100</v>
      </c>
      <c r="D111" s="21" t="str">
        <f t="shared" si="5"/>
        <v>FII Renda Gestão Passiva</v>
      </c>
    </row>
    <row r="112" spans="2:4" x14ac:dyDescent="0.25">
      <c r="B112" s="22" t="s">
        <v>101</v>
      </c>
      <c r="C112" t="s">
        <v>101</v>
      </c>
      <c r="D112" s="21" t="str">
        <f t="shared" si="5"/>
        <v>FII Tijolo Híbrido Gestão Ativa</v>
      </c>
    </row>
    <row r="113" spans="2:4" x14ac:dyDescent="0.25">
      <c r="B113" s="22" t="s">
        <v>102</v>
      </c>
      <c r="C113" t="s">
        <v>102</v>
      </c>
      <c r="D113" s="21" t="str">
        <f t="shared" si="5"/>
        <v>FII TVM Gestão Ativa</v>
      </c>
    </row>
    <row r="114" spans="2:4" x14ac:dyDescent="0.25">
      <c r="B114" s="22" t="s">
        <v>103</v>
      </c>
      <c r="C114" t="s">
        <v>103</v>
      </c>
      <c r="D114" s="21" t="str">
        <f t="shared" si="5"/>
        <v>FII TVM Gestão Passiva</v>
      </c>
    </row>
    <row r="115" spans="2:4" x14ac:dyDescent="0.25">
      <c r="B115" s="22" t="s">
        <v>104</v>
      </c>
      <c r="C115" t="s">
        <v>104</v>
      </c>
      <c r="D115" s="21" t="str">
        <f t="shared" si="5"/>
        <v>Fundos de Investimento Imobiliário</v>
      </c>
    </row>
    <row r="116" spans="2:4" x14ac:dyDescent="0.25">
      <c r="B116" s="22" t="s">
        <v>37</v>
      </c>
      <c r="C116" t="s">
        <v>37</v>
      </c>
      <c r="D116" s="21" t="str">
        <f>VLOOKUP(C116,$B$116:$B$160,1,FALSE)</f>
        <v>Balanceados</v>
      </c>
    </row>
    <row r="117" spans="2:4" x14ac:dyDescent="0.25">
      <c r="B117" s="22" t="s">
        <v>56</v>
      </c>
      <c r="C117" t="s">
        <v>56</v>
      </c>
      <c r="D117" s="21" t="str">
        <f t="shared" ref="D117:D138" si="6">VLOOKUP(C117,$B$116:$B$160,1,FALSE)</f>
        <v>Cambial</v>
      </c>
    </row>
    <row r="118" spans="2:4" x14ac:dyDescent="0.25">
      <c r="B118" s="22" t="s">
        <v>57</v>
      </c>
      <c r="C118" t="s">
        <v>57</v>
      </c>
      <c r="D118" s="21" t="str">
        <f t="shared" si="6"/>
        <v>Cambial Dólar sem alavancagem</v>
      </c>
    </row>
    <row r="119" spans="2:4" x14ac:dyDescent="0.25">
      <c r="B119" s="22" t="s">
        <v>58</v>
      </c>
      <c r="C119" t="s">
        <v>58</v>
      </c>
      <c r="D119" s="21" t="str">
        <f t="shared" si="6"/>
        <v>Cambial Euro sem Alavancagem</v>
      </c>
    </row>
    <row r="120" spans="2:4" x14ac:dyDescent="0.25">
      <c r="B120" s="22" t="s">
        <v>38</v>
      </c>
      <c r="C120" t="s">
        <v>38</v>
      </c>
      <c r="D120" s="21" t="str">
        <f t="shared" si="6"/>
        <v>Capital Protegido</v>
      </c>
    </row>
    <row r="121" spans="2:4" x14ac:dyDescent="0.25">
      <c r="B121" s="22" t="s">
        <v>39</v>
      </c>
      <c r="C121" t="s">
        <v>39</v>
      </c>
      <c r="D121" s="21" t="str">
        <f t="shared" si="6"/>
        <v>Multimercados Balanceados</v>
      </c>
    </row>
    <row r="122" spans="2:4" x14ac:dyDescent="0.25">
      <c r="B122" s="22" t="s">
        <v>40</v>
      </c>
      <c r="C122" t="s">
        <v>40</v>
      </c>
      <c r="D122" s="21" t="str">
        <f t="shared" si="6"/>
        <v>Multimercados Capital Protegido</v>
      </c>
    </row>
    <row r="123" spans="2:4" x14ac:dyDescent="0.25">
      <c r="B123" s="22" t="s">
        <v>41</v>
      </c>
      <c r="C123" t="s">
        <v>41</v>
      </c>
      <c r="D123" s="21" t="str">
        <f t="shared" si="6"/>
        <v>Multimercados com RV</v>
      </c>
    </row>
    <row r="124" spans="2:4" x14ac:dyDescent="0.25">
      <c r="B124" s="22" t="s">
        <v>42</v>
      </c>
      <c r="C124" t="s">
        <v>42</v>
      </c>
      <c r="D124" s="21" t="str">
        <f t="shared" si="6"/>
        <v>Multimercados com RV com Alavancagem</v>
      </c>
    </row>
    <row r="125" spans="2:4" x14ac:dyDescent="0.25">
      <c r="B125" s="22" t="s">
        <v>43</v>
      </c>
      <c r="C125" t="s">
        <v>43</v>
      </c>
      <c r="D125" s="21" t="str">
        <f t="shared" si="6"/>
        <v>Multimercados Dinâmico</v>
      </c>
    </row>
    <row r="126" spans="2:4" x14ac:dyDescent="0.25">
      <c r="B126" s="22" t="s">
        <v>44</v>
      </c>
      <c r="C126" t="s">
        <v>44</v>
      </c>
      <c r="D126" s="21" t="str">
        <f t="shared" si="6"/>
        <v>Multimercados Estratégia Específica</v>
      </c>
    </row>
    <row r="127" spans="2:4" x14ac:dyDescent="0.25">
      <c r="B127" s="22" t="s">
        <v>59</v>
      </c>
      <c r="C127" t="s">
        <v>59</v>
      </c>
      <c r="D127" s="21" t="str">
        <f t="shared" si="6"/>
        <v>Multimercados Investimento no Exterior</v>
      </c>
    </row>
    <row r="128" spans="2:4" x14ac:dyDescent="0.25">
      <c r="B128" s="22" t="s">
        <v>45</v>
      </c>
      <c r="C128" t="s">
        <v>45</v>
      </c>
      <c r="D128" s="21" t="str">
        <f t="shared" si="6"/>
        <v>Multimercados Juros e Moedas</v>
      </c>
    </row>
    <row r="129" spans="2:4" x14ac:dyDescent="0.25">
      <c r="B129" s="22" t="s">
        <v>46</v>
      </c>
      <c r="C129" t="s">
        <v>46</v>
      </c>
      <c r="D129" s="21" t="str">
        <f t="shared" si="6"/>
        <v>Multimercados Livre</v>
      </c>
    </row>
    <row r="130" spans="2:4" x14ac:dyDescent="0.25">
      <c r="B130" s="22" t="s">
        <v>47</v>
      </c>
      <c r="C130" t="s">
        <v>47</v>
      </c>
      <c r="D130" s="21" t="str">
        <f t="shared" si="6"/>
        <v>Multimercados Long and Short Direcional</v>
      </c>
    </row>
    <row r="131" spans="2:4" x14ac:dyDescent="0.25">
      <c r="B131" s="22" t="s">
        <v>48</v>
      </c>
      <c r="C131" t="s">
        <v>48</v>
      </c>
      <c r="D131" s="21" t="str">
        <f t="shared" si="6"/>
        <v>Multimercados Long and Short Neutro</v>
      </c>
    </row>
    <row r="132" spans="2:4" x14ac:dyDescent="0.25">
      <c r="B132" s="22" t="s">
        <v>49</v>
      </c>
      <c r="C132" t="s">
        <v>49</v>
      </c>
      <c r="D132" s="21" t="str">
        <f t="shared" si="6"/>
        <v>Multimercados Macro</v>
      </c>
    </row>
    <row r="133" spans="2:4" x14ac:dyDescent="0.25">
      <c r="B133" s="22" t="s">
        <v>50</v>
      </c>
      <c r="C133" t="s">
        <v>50</v>
      </c>
      <c r="D133" s="21" t="str">
        <f t="shared" si="6"/>
        <v>Multimercados Multiestratégia</v>
      </c>
    </row>
    <row r="134" spans="2:4" x14ac:dyDescent="0.25">
      <c r="B134" s="22" t="s">
        <v>51</v>
      </c>
      <c r="C134" t="s">
        <v>51</v>
      </c>
      <c r="D134" s="21" t="str">
        <f t="shared" si="6"/>
        <v>Multimercados Multigestor</v>
      </c>
    </row>
    <row r="135" spans="2:4" x14ac:dyDescent="0.25">
      <c r="B135" s="22" t="s">
        <v>52</v>
      </c>
      <c r="C135" t="s">
        <v>52</v>
      </c>
      <c r="D135" s="21" t="str">
        <f t="shared" si="6"/>
        <v>Multimercados sem RV</v>
      </c>
    </row>
    <row r="136" spans="2:4" x14ac:dyDescent="0.25">
      <c r="B136" s="22" t="s">
        <v>53</v>
      </c>
      <c r="C136" t="s">
        <v>53</v>
      </c>
      <c r="D136" s="21" t="str">
        <f t="shared" si="6"/>
        <v>Multimercados sem RV com Alavancagem</v>
      </c>
    </row>
    <row r="137" spans="2:4" x14ac:dyDescent="0.25">
      <c r="B137" s="22" t="s">
        <v>54</v>
      </c>
      <c r="C137" t="s">
        <v>54</v>
      </c>
      <c r="D137" s="21" t="str">
        <f t="shared" si="6"/>
        <v>Multimercados Trading</v>
      </c>
    </row>
    <row r="138" spans="2:4" x14ac:dyDescent="0.25">
      <c r="B138" s="22" t="s">
        <v>55</v>
      </c>
      <c r="C138" t="s">
        <v>55</v>
      </c>
      <c r="D138" s="21" t="str">
        <f t="shared" si="6"/>
        <v>Referenciado Dólar</v>
      </c>
    </row>
    <row r="139" spans="2:4" x14ac:dyDescent="0.25">
      <c r="B139" s="22"/>
    </row>
    <row r="140" spans="2:4" x14ac:dyDescent="0.25">
      <c r="B140" s="22"/>
    </row>
    <row r="141" spans="2:4" x14ac:dyDescent="0.25">
      <c r="B141" s="22"/>
    </row>
    <row r="142" spans="2:4" x14ac:dyDescent="0.25">
      <c r="B142" s="22"/>
    </row>
    <row r="143" spans="2:4" x14ac:dyDescent="0.25">
      <c r="B143" s="22"/>
    </row>
    <row r="144" spans="2:4" x14ac:dyDescent="0.25">
      <c r="B144" s="22"/>
    </row>
    <row r="145" spans="2:2" x14ac:dyDescent="0.25">
      <c r="B145" s="22"/>
    </row>
    <row r="146" spans="2:2" x14ac:dyDescent="0.25">
      <c r="B146" s="22"/>
    </row>
    <row r="147" spans="2:2" x14ac:dyDescent="0.25">
      <c r="B147" s="22"/>
    </row>
    <row r="148" spans="2:2" x14ac:dyDescent="0.25">
      <c r="B148" s="22"/>
    </row>
    <row r="149" spans="2:2" x14ac:dyDescent="0.25">
      <c r="B149" s="22"/>
    </row>
    <row r="150" spans="2:2" x14ac:dyDescent="0.25">
      <c r="B150" s="22"/>
    </row>
    <row r="151" spans="2:2" x14ac:dyDescent="0.25">
      <c r="B151" s="22"/>
    </row>
    <row r="152" spans="2:2" x14ac:dyDescent="0.25">
      <c r="B152" s="22"/>
    </row>
    <row r="153" spans="2:2" x14ac:dyDescent="0.25">
      <c r="B153" s="22"/>
    </row>
    <row r="154" spans="2:2" x14ac:dyDescent="0.25">
      <c r="B154" s="22"/>
    </row>
    <row r="155" spans="2:2" x14ac:dyDescent="0.25">
      <c r="B155" s="22"/>
    </row>
    <row r="156" spans="2:2" x14ac:dyDescent="0.25">
      <c r="B156" s="22"/>
    </row>
    <row r="157" spans="2:2" x14ac:dyDescent="0.25">
      <c r="B157" s="22"/>
    </row>
    <row r="158" spans="2:2" x14ac:dyDescent="0.25">
      <c r="B158" s="22"/>
    </row>
    <row r="159" spans="2:2" x14ac:dyDescent="0.25">
      <c r="B159" s="22"/>
    </row>
    <row r="160" spans="2:2" x14ac:dyDescent="0.25">
      <c r="B160" s="2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48e4f3-e60b-482e-b955-d96257299df5" xsi:nil="true"/>
    <lcf76f155ced4ddcb4097134ff3c332f xmlns="a8ded66b-c526-42ac-a82d-fa15b3a264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57D45AAC003841868152D7803A121D" ma:contentTypeVersion="18" ma:contentTypeDescription="Crie um novo documento." ma:contentTypeScope="" ma:versionID="af587a64254728890b2a81f8abcdf42a">
  <xsd:schema xmlns:xsd="http://www.w3.org/2001/XMLSchema" xmlns:xs="http://www.w3.org/2001/XMLSchema" xmlns:p="http://schemas.microsoft.com/office/2006/metadata/properties" xmlns:ns2="7d48e4f3-e60b-482e-b955-d96257299df5" xmlns:ns3="a8ded66b-c526-42ac-a82d-fa15b3a2644a" targetNamespace="http://schemas.microsoft.com/office/2006/metadata/properties" ma:root="true" ma:fieldsID="3259afd199ce529c43de34e154bb0aaa" ns2:_="" ns3:_="">
    <xsd:import namespace="7d48e4f3-e60b-482e-b955-d96257299df5"/>
    <xsd:import namespace="a8ded66b-c526-42ac-a82d-fa15b3a264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8e4f3-e60b-482e-b955-d96257299d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1c2a3c4-4b49-4e54-b038-7c885c4e410b}" ma:internalName="TaxCatchAll" ma:showField="CatchAllData" ma:web="7d48e4f3-e60b-482e-b955-d96257299d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ed66b-c526-42ac-a82d-fa15b3a26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10faa7-1897-4a89-a148-5465abff7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69B6A-12CC-478C-AF2D-8654DAD9E005}">
  <ds:schemaRefs>
    <ds:schemaRef ds:uri="http://schemas.microsoft.com/office/2006/metadata/properties"/>
    <ds:schemaRef ds:uri="a8ded66b-c526-42ac-a82d-fa15b3a2644a"/>
    <ds:schemaRef ds:uri="http://purl.org/dc/elements/1.1/"/>
    <ds:schemaRef ds:uri="http://schemas.microsoft.com/office/infopath/2007/PartnerControls"/>
    <ds:schemaRef ds:uri="7d48e4f3-e60b-482e-b955-d96257299df5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AC366B-3B04-43DF-8A51-C0853FF69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9873E3-58D2-4C11-9781-8CFFDE174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48e4f3-e60b-482e-b955-d96257299df5"/>
    <ds:schemaRef ds:uri="a8ded66b-c526-42ac-a82d-fa15b3a26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Validacao da classificaçao Scri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Carla Alves da Silva Melo</dc:creator>
  <cp:keywords/>
  <dc:description/>
  <cp:lastModifiedBy>LEVI Alves Pinheiro</cp:lastModifiedBy>
  <cp:revision/>
  <dcterms:created xsi:type="dcterms:W3CDTF">2015-06-05T18:19:34Z</dcterms:created>
  <dcterms:modified xsi:type="dcterms:W3CDTF">2026-07-03T19:17:40Z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0x010100E357D45AAC003841868152D7803A121D</vt:lpwstr>
  </property>
  <property fmtid="{D5CDD505-2E9C-101B-9397-08002B2CF9AE}" pid="3" name="MediaServiceImageTags">
    <vt:lpwstr/>
  </property>
</Properties>
</file>